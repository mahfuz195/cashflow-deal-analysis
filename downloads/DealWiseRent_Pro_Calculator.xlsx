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islam01\Downloads\"/>
    </mc:Choice>
  </mc:AlternateContent>
  <xr:revisionPtr revIDLastSave="0" documentId="13_ncr:1_{8EC2E209-76CD-4325-B929-D211B8C75288}" xr6:coauthVersionLast="47" xr6:coauthVersionMax="47" xr10:uidLastSave="{00000000-0000-0000-0000-000000000000}"/>
  <bookViews>
    <workbookView xWindow="28680" yWindow="-120" windowWidth="51840" windowHeight="21120" tabRatio="500" activeTab="2" xr2:uid="{00000000-000D-0000-FFFF-FFFF00000000}"/>
  </bookViews>
  <sheets>
    <sheet name="Calculator" sheetId="2" r:id="rId1"/>
    <sheet name="Dashboard" sheetId="1" r:id="rId2"/>
    <sheet name="Charts"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32" i="1" l="1"/>
  <c r="H31" i="1"/>
  <c r="H30" i="1"/>
  <c r="H29" i="1"/>
  <c r="H28" i="1"/>
  <c r="H27" i="1"/>
  <c r="H26" i="1"/>
  <c r="H25" i="1"/>
  <c r="H24" i="1"/>
  <c r="H23" i="1"/>
  <c r="H22" i="1"/>
  <c r="H21" i="1"/>
  <c r="E32" i="1"/>
  <c r="E31" i="1"/>
  <c r="E30" i="1"/>
  <c r="E29" i="1"/>
  <c r="E28" i="1"/>
  <c r="E27" i="1"/>
  <c r="E26" i="1"/>
  <c r="E25" i="1"/>
  <c r="E24" i="1"/>
  <c r="E23" i="1"/>
  <c r="E22" i="1"/>
  <c r="E21" i="1"/>
  <c r="H16" i="1"/>
  <c r="E16" i="1"/>
  <c r="B16" i="1"/>
  <c r="H13" i="1"/>
  <c r="E13" i="1"/>
  <c r="B13" i="1"/>
  <c r="H41" i="2"/>
  <c r="H40" i="2"/>
  <c r="H39" i="2"/>
  <c r="H38" i="2"/>
  <c r="H37" i="2"/>
  <c r="H35" i="2"/>
  <c r="H34" i="2"/>
  <c r="H33" i="2"/>
  <c r="E26" i="2"/>
  <c r="H32" i="2"/>
  <c r="H30" i="2"/>
  <c r="H29" i="2"/>
  <c r="H28" i="2"/>
  <c r="H27" i="2"/>
  <c r="H26" i="2"/>
  <c r="H25" i="2"/>
  <c r="H24" i="2"/>
  <c r="H23" i="2"/>
  <c r="H21" i="2"/>
  <c r="E41" i="2"/>
  <c r="E40" i="2"/>
  <c r="E33" i="2"/>
  <c r="E30" i="2"/>
  <c r="E32" i="2" s="1"/>
  <c r="E29" i="2"/>
  <c r="E28" i="2"/>
  <c r="E20" i="2"/>
  <c r="E19" i="2"/>
  <c r="E21" i="2"/>
  <c r="E23" i="2"/>
  <c r="C45" i="2"/>
  <c r="D45" i="2" s="1"/>
  <c r="E27" i="2"/>
  <c r="E25" i="2"/>
  <c r="E24" i="2"/>
  <c r="H20" i="2"/>
  <c r="H19" i="2"/>
  <c r="C12" i="2"/>
  <c r="F11" i="2"/>
  <c r="F13" i="2" s="1"/>
  <c r="C11" i="2"/>
  <c r="F10" i="2"/>
  <c r="J71" i="2" s="1"/>
  <c r="C10" i="2"/>
  <c r="B10" i="1"/>
  <c r="E39" i="2" l="1"/>
  <c r="E34" i="2"/>
  <c r="J45" i="2"/>
  <c r="K45" i="2" s="1"/>
  <c r="J46" i="2"/>
  <c r="J57" i="2"/>
  <c r="J58" i="2"/>
  <c r="J74" i="2"/>
  <c r="J53" i="2"/>
  <c r="J47" i="2"/>
  <c r="J59" i="2"/>
  <c r="J48" i="2"/>
  <c r="J60" i="2"/>
  <c r="J49" i="2"/>
  <c r="J61" i="2"/>
  <c r="J62" i="2"/>
  <c r="F12" i="2"/>
  <c r="G47" i="2" s="1"/>
  <c r="J50" i="2"/>
  <c r="J63" i="2"/>
  <c r="J51" i="2"/>
  <c r="J52" i="2"/>
  <c r="J64" i="2"/>
  <c r="J65" i="2"/>
  <c r="J54" i="2"/>
  <c r="J66" i="2"/>
  <c r="J55" i="2"/>
  <c r="J67" i="2"/>
  <c r="J56" i="2"/>
  <c r="J68" i="2"/>
  <c r="E45" i="2"/>
  <c r="E10" i="1"/>
  <c r="J70" i="2"/>
  <c r="J73" i="2"/>
  <c r="J69" i="2"/>
  <c r="C46" i="2"/>
  <c r="J72" i="2"/>
  <c r="E37" i="2" l="1"/>
  <c r="E35" i="2"/>
  <c r="E38" i="2"/>
  <c r="G69" i="2"/>
  <c r="G62" i="2"/>
  <c r="G55" i="2"/>
  <c r="G48" i="2"/>
  <c r="H10" i="1"/>
  <c r="G68" i="2"/>
  <c r="G61" i="2"/>
  <c r="G54" i="2"/>
  <c r="J75" i="2"/>
  <c r="K46" i="2"/>
  <c r="K47" i="2" s="1"/>
  <c r="K48" i="2" s="1"/>
  <c r="K49" i="2" s="1"/>
  <c r="K50" i="2" s="1"/>
  <c r="K51" i="2" s="1"/>
  <c r="K52" i="2" s="1"/>
  <c r="K53" i="2" s="1"/>
  <c r="K54" i="2" s="1"/>
  <c r="K55" i="2" s="1"/>
  <c r="K56" i="2" s="1"/>
  <c r="K57" i="2" s="1"/>
  <c r="K58" i="2" s="1"/>
  <c r="K59" i="2" s="1"/>
  <c r="K60" i="2" s="1"/>
  <c r="K61" i="2" s="1"/>
  <c r="K62" i="2" s="1"/>
  <c r="K63" i="2" s="1"/>
  <c r="K64" i="2" s="1"/>
  <c r="K65" i="2" s="1"/>
  <c r="K66" i="2" s="1"/>
  <c r="K67" i="2" s="1"/>
  <c r="K68" i="2" s="1"/>
  <c r="K69" i="2" s="1"/>
  <c r="K70" i="2" s="1"/>
  <c r="K71" i="2" s="1"/>
  <c r="K72" i="2" s="1"/>
  <c r="K73" i="2" s="1"/>
  <c r="K74" i="2" s="1"/>
  <c r="K75" i="2" s="1"/>
  <c r="G74" i="2"/>
  <c r="G71" i="2"/>
  <c r="G57" i="2"/>
  <c r="G64" i="2"/>
  <c r="G50" i="2"/>
  <c r="G66" i="2"/>
  <c r="G67" i="2"/>
  <c r="G60" i="2"/>
  <c r="G72" i="2"/>
  <c r="G51" i="2"/>
  <c r="G73" i="2"/>
  <c r="G70" i="2"/>
  <c r="G63" i="2"/>
  <c r="G59" i="2"/>
  <c r="G56" i="2"/>
  <c r="G52" i="2"/>
  <c r="G45" i="2"/>
  <c r="G53" i="2"/>
  <c r="G65" i="2"/>
  <c r="G49" i="2"/>
  <c r="G46" i="2"/>
  <c r="G58" i="2"/>
  <c r="D46" i="2"/>
  <c r="C47" i="2"/>
  <c r="F45" i="2"/>
  <c r="G75" i="2" l="1"/>
  <c r="H45" i="2"/>
  <c r="D47" i="2"/>
  <c r="C48" i="2"/>
  <c r="E46" i="2"/>
  <c r="F46" i="2" s="1"/>
  <c r="H46" i="2" l="1"/>
  <c r="L45" i="2"/>
  <c r="I45" i="2"/>
  <c r="D48" i="2"/>
  <c r="C49" i="2"/>
  <c r="E47" i="2"/>
  <c r="F47" i="2" s="1"/>
  <c r="H47" i="2" l="1"/>
  <c r="I46" i="2"/>
  <c r="L46" i="2"/>
  <c r="E48" i="2"/>
  <c r="C50" i="2"/>
  <c r="D49" i="2"/>
  <c r="E49" i="2" l="1"/>
  <c r="F49" i="2" s="1"/>
  <c r="H49" i="2" s="1"/>
  <c r="F48" i="2"/>
  <c r="L47" i="2"/>
  <c r="I47" i="2"/>
  <c r="D50" i="2"/>
  <c r="C51" i="2"/>
  <c r="L49" i="2" l="1"/>
  <c r="I49" i="2"/>
  <c r="C52" i="2"/>
  <c r="D51" i="2"/>
  <c r="E50" i="2"/>
  <c r="F50" i="2" s="1"/>
  <c r="H48" i="2"/>
  <c r="H50" i="2" l="1"/>
  <c r="E51" i="2"/>
  <c r="F51" i="2" s="1"/>
  <c r="H51" i="2" s="1"/>
  <c r="D52" i="2"/>
  <c r="C53" i="2"/>
  <c r="L48" i="2"/>
  <c r="I48" i="2"/>
  <c r="I51" i="2" l="1"/>
  <c r="L51" i="2"/>
  <c r="D53" i="2"/>
  <c r="C54" i="2"/>
  <c r="E52" i="2"/>
  <c r="F52" i="2" s="1"/>
  <c r="H52" i="2" s="1"/>
  <c r="I50" i="2"/>
  <c r="L50" i="2"/>
  <c r="L52" i="2" l="1"/>
  <c r="I52" i="2"/>
  <c r="D54" i="2"/>
  <c r="C55" i="2"/>
  <c r="E53" i="2"/>
  <c r="F53" i="2" s="1"/>
  <c r="H53" i="2" s="1"/>
  <c r="L53" i="2" l="1"/>
  <c r="I53" i="2"/>
  <c r="D55" i="2"/>
  <c r="C56" i="2"/>
  <c r="E54" i="2"/>
  <c r="F54" i="2" s="1"/>
  <c r="H54" i="2" s="1"/>
  <c r="L54" i="2" l="1"/>
  <c r="I54" i="2"/>
  <c r="C57" i="2"/>
  <c r="D56" i="2"/>
  <c r="E55" i="2"/>
  <c r="F55" i="2" s="1"/>
  <c r="H55" i="2" s="1"/>
  <c r="L55" i="2" l="1"/>
  <c r="I55" i="2"/>
  <c r="E56" i="2"/>
  <c r="F56" i="2" s="1"/>
  <c r="H56" i="2" s="1"/>
  <c r="D57" i="2"/>
  <c r="C58" i="2"/>
  <c r="L56" i="2" l="1"/>
  <c r="I56" i="2"/>
  <c r="C59" i="2"/>
  <c r="D58" i="2"/>
  <c r="E57" i="2"/>
  <c r="F57" i="2" s="1"/>
  <c r="H57" i="2" s="1"/>
  <c r="I57" i="2" l="1"/>
  <c r="L57" i="2"/>
  <c r="E58" i="2"/>
  <c r="F58" i="2" s="1"/>
  <c r="H58" i="2" s="1"/>
  <c r="D59" i="2"/>
  <c r="C60" i="2"/>
  <c r="I58" i="2" l="1"/>
  <c r="L58" i="2"/>
  <c r="D60" i="2"/>
  <c r="C61" i="2"/>
  <c r="E59" i="2"/>
  <c r="F59" i="2" s="1"/>
  <c r="H59" i="2" s="1"/>
  <c r="L59" i="2" l="1"/>
  <c r="I59" i="2"/>
  <c r="E60" i="2"/>
  <c r="F60" i="2" s="1"/>
  <c r="H60" i="2" s="1"/>
  <c r="D61" i="2"/>
  <c r="C62" i="2"/>
  <c r="I60" i="2" l="1"/>
  <c r="L60" i="2"/>
  <c r="D62" i="2"/>
  <c r="C63" i="2"/>
  <c r="E61" i="2"/>
  <c r="F61" i="2" s="1"/>
  <c r="H61" i="2" s="1"/>
  <c r="L61" i="2" l="1"/>
  <c r="I61" i="2"/>
  <c r="C64" i="2"/>
  <c r="D63" i="2"/>
  <c r="E62" i="2"/>
  <c r="F62" i="2" s="1"/>
  <c r="H62" i="2" s="1"/>
  <c r="L62" i="2" l="1"/>
  <c r="I62" i="2"/>
  <c r="E63" i="2"/>
  <c r="F63" i="2" s="1"/>
  <c r="H63" i="2" s="1"/>
  <c r="D64" i="2"/>
  <c r="C65" i="2"/>
  <c r="L63" i="2" l="1"/>
  <c r="I63" i="2"/>
  <c r="C66" i="2"/>
  <c r="D65" i="2"/>
  <c r="E64" i="2"/>
  <c r="F64" i="2" s="1"/>
  <c r="H64" i="2" s="1"/>
  <c r="I64" i="2" l="1"/>
  <c r="L64" i="2"/>
  <c r="D66" i="2"/>
  <c r="C67" i="2"/>
  <c r="E65" i="2"/>
  <c r="F65" i="2" s="1"/>
  <c r="H65" i="2" s="1"/>
  <c r="I65" i="2" l="1"/>
  <c r="L65" i="2"/>
  <c r="D67" i="2"/>
  <c r="C68" i="2"/>
  <c r="E66" i="2"/>
  <c r="F66" i="2" s="1"/>
  <c r="H66" i="2" s="1"/>
  <c r="L66" i="2" l="1"/>
  <c r="I66" i="2"/>
  <c r="C69" i="2"/>
  <c r="D68" i="2"/>
  <c r="E67" i="2"/>
  <c r="F67" i="2" s="1"/>
  <c r="H67" i="2" s="1"/>
  <c r="I67" i="2" l="1"/>
  <c r="L67" i="2"/>
  <c r="E68" i="2"/>
  <c r="F68" i="2" s="1"/>
  <c r="H68" i="2" s="1"/>
  <c r="D69" i="2"/>
  <c r="C70" i="2"/>
  <c r="L68" i="2" l="1"/>
  <c r="I68" i="2"/>
  <c r="C71" i="2"/>
  <c r="D70" i="2"/>
  <c r="E69" i="2"/>
  <c r="F69" i="2" s="1"/>
  <c r="H69" i="2" s="1"/>
  <c r="L69" i="2" l="1"/>
  <c r="I69" i="2"/>
  <c r="E70" i="2"/>
  <c r="F70" i="2" s="1"/>
  <c r="H70" i="2" s="1"/>
  <c r="D71" i="2"/>
  <c r="C72" i="2"/>
  <c r="L70" i="2" l="1"/>
  <c r="I70" i="2"/>
  <c r="C73" i="2"/>
  <c r="D72" i="2"/>
  <c r="E71" i="2"/>
  <c r="F71" i="2" s="1"/>
  <c r="H71" i="2" s="1"/>
  <c r="I71" i="2" l="1"/>
  <c r="L71" i="2"/>
  <c r="E72" i="2"/>
  <c r="F72" i="2" s="1"/>
  <c r="H72" i="2" s="1"/>
  <c r="D73" i="2"/>
  <c r="C74" i="2"/>
  <c r="I72" i="2" l="1"/>
  <c r="L72" i="2"/>
  <c r="D74" i="2"/>
  <c r="C75" i="2"/>
  <c r="E73" i="2"/>
  <c r="F73" i="2" s="1"/>
  <c r="H73" i="2" s="1"/>
  <c r="L73" i="2" l="1"/>
  <c r="I73" i="2"/>
  <c r="E74" i="2"/>
  <c r="E75" i="2" s="1"/>
  <c r="D75" i="2"/>
  <c r="F74" i="2" l="1"/>
  <c r="H74" i="2" l="1"/>
  <c r="F75" i="2"/>
  <c r="L74" i="2" l="1"/>
  <c r="L75" i="2" s="1"/>
  <c r="I74" i="2"/>
  <c r="I75" i="2" s="1"/>
  <c r="H75" i="2"/>
</calcChain>
</file>

<file path=xl/sharedStrings.xml><?xml version="1.0" encoding="utf-8"?>
<sst xmlns="http://schemas.openxmlformats.org/spreadsheetml/2006/main" count="134" uniqueCount="119">
  <si>
    <t>🏠  DealWiseRent.com</t>
  </si>
  <si>
    <t>RENTAL PROPERTY INVESTMENT ANALYSIS TOOL</t>
  </si>
  <si>
    <t>⚠  DISCLAIMER: This tool provides rental property investment estimates for informational purposes only. Calculations may contain errors or omissions. Always perform your own due diligence and consult a licensed real estate professional or financial advisor before making any investment decision. DealWiseRent.com assumes no liability for decisions based on this analysis.</t>
  </si>
  <si>
    <t xml:space="preserve">  📊  INVESTMENT SUMMARY  —  Update inputs on the  ➜  Calculator  sheet</t>
  </si>
  <si>
    <t>PURCHASE PRICE</t>
  </si>
  <si>
    <t>TOTAL CASH OUTLAY</t>
  </si>
  <si>
    <t>MONTHLY MORTGAGE PMT</t>
  </si>
  <si>
    <t>ANNUAL CASH FLOW (Outsourced PM)</t>
  </si>
  <si>
    <t>CASH ROI (Outsourced PM)</t>
  </si>
  <si>
    <t>NET OPERATING INCOME (Yr 1)</t>
  </si>
  <si>
    <t>ANNUAL CASH FLOW (Self-Managed)</t>
  </si>
  <si>
    <t>CASH ROI (Self-Managed)</t>
  </si>
  <si>
    <t>TOTAL ROI (Year 1)</t>
  </si>
  <si>
    <t xml:space="preserve">  📋  YEAR 1 RESULTS OVERVIEW</t>
  </si>
  <si>
    <t>METRIC</t>
  </si>
  <si>
    <t>OUTSOURCED PM</t>
  </si>
  <si>
    <t>SELF-MANAGED</t>
  </si>
  <si>
    <t>Gross Annual Rent</t>
  </si>
  <si>
    <t>Vacancy / Credit Loss</t>
  </si>
  <si>
    <t>Effective Gross Income</t>
  </si>
  <si>
    <t>Total Operating Expenses</t>
  </si>
  <si>
    <t>Net Operating Income (NOI)</t>
  </si>
  <si>
    <t>Annual Mortgage</t>
  </si>
  <si>
    <t>Annual Cash Flow</t>
  </si>
  <si>
    <t>Monthly Cash Flow</t>
  </si>
  <si>
    <t>Cash ROI</t>
  </si>
  <si>
    <t>Total ROI (CF + Equity, Yr1)</t>
  </si>
  <si>
    <t>Cap Rate</t>
  </si>
  <si>
    <t>Gross Rent Multiplier (GRM)</t>
  </si>
  <si>
    <t>© 2025 DealWiseRent.com  |  Professional Rental Investment Analysis  |  www.DealWiseRent.com</t>
  </si>
  <si>
    <t>DealWiseRent.com  |  Rental Property Investment Calculator</t>
  </si>
  <si>
    <t xml:space="preserve">  📝  INSTRUCTIONS: Enter values in BLUE cells. GREEN cells auto-calculate. Do NOT edit green cells.</t>
  </si>
  <si>
    <t>💰  COST ASSUMPTIONS</t>
  </si>
  <si>
    <t>🏦  FINANCING</t>
  </si>
  <si>
    <t>📈  REVENUE &amp; GROWTH</t>
  </si>
  <si>
    <t>🏘  UNIT DETAILS</t>
  </si>
  <si>
    <t>Purchase Price</t>
  </si>
  <si>
    <t>Downpayment %</t>
  </si>
  <si>
    <t>Monthly Rent / Unit</t>
  </si>
  <si>
    <t>Number of Units</t>
  </si>
  <si>
    <t>Improvements / Rehab</t>
  </si>
  <si>
    <t>Interest Rate (Annual)</t>
  </si>
  <si>
    <t>Vacancy Rate</t>
  </si>
  <si>
    <t>Square Footage</t>
  </si>
  <si>
    <t>Closing Costs</t>
  </si>
  <si>
    <t>Loan Term (Years)</t>
  </si>
  <si>
    <t>Annual Revenue Growth</t>
  </si>
  <si>
    <t>Avg Tenant Stay</t>
  </si>
  <si>
    <t>Land Value (25%)</t>
  </si>
  <si>
    <t>Finance Amount</t>
  </si>
  <si>
    <t>Annual Expense Growth</t>
  </si>
  <si>
    <t>PM Fee (% of Income)</t>
  </si>
  <si>
    <t>Building Value (75%)</t>
  </si>
  <si>
    <t>Downpayment Amount</t>
  </si>
  <si>
    <t>Property Taxes (Annual)</t>
  </si>
  <si>
    <t>Insurance (Annual)</t>
  </si>
  <si>
    <t>Total Investment Cost</t>
  </si>
  <si>
    <t>Monthly Mortgage Pmt</t>
  </si>
  <si>
    <t>Maintenance (Annual)</t>
  </si>
  <si>
    <t>HOA Dues (Monthly)</t>
  </si>
  <si>
    <t>Total Cash Outlay</t>
  </si>
  <si>
    <t>Tenant Placement (Yr1)</t>
  </si>
  <si>
    <t>Other Annual Expenses</t>
  </si>
  <si>
    <t>🔵  Blue = User Input</t>
  </si>
  <si>
    <t>🟢  Green = Auto-Calculated</t>
  </si>
  <si>
    <t>⚠  Yellow = Needs Attention</t>
  </si>
  <si>
    <t>📊  See Charts tab for visuals</t>
  </si>
  <si>
    <t xml:space="preserve">  📊  YEAR 1 RESULTS SUMMARY  —  Outsourced PM vs. Self-Managed</t>
  </si>
  <si>
    <t>OUTSOURCED PROP. MGMT</t>
  </si>
  <si>
    <t>NOTES</t>
  </si>
  <si>
    <t>Rent × 12 months × units</t>
  </si>
  <si>
    <t>Vacancy / Credit Loss (−)</t>
  </si>
  <si>
    <t>Vacancy rate × gross rent</t>
  </si>
  <si>
    <t>Effective Gross Income (EGI)</t>
  </si>
  <si>
    <t>Revenue after vacancy</t>
  </si>
  <si>
    <t>─── Operating Expenses ───</t>
  </si>
  <si>
    <t>Property Taxes</t>
  </si>
  <si>
    <t>Annual</t>
  </si>
  <si>
    <t>Insurance</t>
  </si>
  <si>
    <t>Maintenance &amp; Repairs</t>
  </si>
  <si>
    <t>PM Fee (outsourced / self)</t>
  </si>
  <si>
    <t>% of EGI outsourced; $0 self-managed</t>
  </si>
  <si>
    <t>HOA Dues</t>
  </si>
  <si>
    <t>Monthly×12</t>
  </si>
  <si>
    <t>Tenant Placement Fee (Yr1)</t>
  </si>
  <si>
    <t>First year only</t>
  </si>
  <si>
    <t>Sum of all operating costs</t>
  </si>
  <si>
    <t>─── Net Income &amp; Cash Flow ───</t>
  </si>
  <si>
    <t>EGI + Total Expenses (expenses are negative)</t>
  </si>
  <si>
    <t>Annual Mortgage Payments</t>
  </si>
  <si>
    <t>Monthly payment × 12</t>
  </si>
  <si>
    <t>NOI – Debt Service</t>
  </si>
  <si>
    <t>Annual CF ÷ 12</t>
  </si>
  <si>
    <t>─── Returns &amp; Ratios ───</t>
  </si>
  <si>
    <t>Annual CF ÷ Cash Outlay</t>
  </si>
  <si>
    <t>Includes principal paydown</t>
  </si>
  <si>
    <t>Cap Rate (NOI / Total Cost)</t>
  </si>
  <si>
    <t>Unlevered yield on cost</t>
  </si>
  <si>
    <t>Purchase Price ÷ Gross Rent</t>
  </si>
  <si>
    <t>Rent per Sq Ft / Year</t>
  </si>
  <si>
    <t>Monthly rent × 12 ÷ sq ft</t>
  </si>
  <si>
    <t xml:space="preserve">  📊  30-YEAR CASH FLOW &amp; RETURNS PROJECTION  (Outsourced Property Management)</t>
  </si>
  <si>
    <t>Year</t>
  </si>
  <si>
    <t>Gross
Rent</t>
  </si>
  <si>
    <t>Eff. Gross
Income</t>
  </si>
  <si>
    <t>Total
Expenses</t>
  </si>
  <si>
    <t>NOI</t>
  </si>
  <si>
    <t>Annual
Mortgage</t>
  </si>
  <si>
    <t>Annual
Cash Flow</t>
  </si>
  <si>
    <t>Cash
ROI %</t>
  </si>
  <si>
    <t>Equity
Gained</t>
  </si>
  <si>
    <t>Cum.
Equity</t>
  </si>
  <si>
    <t>Total
ROI %</t>
  </si>
  <si>
    <t>30-YEAR TOTALS</t>
  </si>
  <si>
    <t>⚠  DISCLAIMER: All projections and calculations in this worksheet are estimates for informational purposes only and may contain errors or omissions. Assumptions about rent growth, expense growth, and occupancy may differ from actual market conditions. Past performance does not guarantee future results. Always consult a licensed real estate professional, CPA, or financial advisor before making any investment decisions. © 2025 DealWiseRent.com</t>
  </si>
  <si>
    <t>DealWiseRent.com  |  Investment Performance Charts</t>
  </si>
  <si>
    <t xml:space="preserve">  📈  Visual analysis of your 30-year rental property investment performance</t>
  </si>
  <si>
    <t>⚠  DISCLAIMER: All charts are estimates for informational purposes only. DealWiseRent.com assumes no liability for investment decisions. © 2025 DealWiseRent.com – www.DealWiseRent.com</t>
  </si>
  <si>
    <t>© 2025 DealWiseRent.com  |  www.DealWiseRent.com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</si>
</sst>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
    <numFmt numFmtId="165" formatCode="\$#,##0.00"/>
    <numFmt numFmtId="166" formatCode="&quot;($&quot;#,##0\)"/>
    <numFmt numFmtId="167" formatCode="0.00\x"/>
    <numFmt numFmtId="168" formatCode="0.0%"/>
    <numFmt numFmtId="169" formatCode="0.000%"/>
    <numFmt numFmtId="170" formatCode="#,##0&quot; sq ft&quot;"/>
    <numFmt numFmtId="171" formatCode="0&quot; years&quot;"/>
    <numFmt numFmtId="172" formatCode="\$0.00&quot;/sqft&quot;"/>
  </numFmts>
  <fonts count="32" x14ac:knownFonts="1">
    <font>
      <sz val="11"/>
      <color theme="1"/>
      <name val="Calibri"/>
      <family val="2"/>
      <charset val="1"/>
    </font>
    <font>
      <b/>
      <sz val="20"/>
      <color rgb="FFFFFFFF"/>
      <name val="Calibri"/>
      <charset val="1"/>
    </font>
    <font>
      <b/>
      <sz val="30"/>
      <color rgb="FFFFFFFF"/>
      <name val="Calibri"/>
      <charset val="1"/>
    </font>
    <font>
      <b/>
      <sz val="13"/>
      <color rgb="FFFFFFFF"/>
      <name val="Calibri"/>
      <charset val="1"/>
    </font>
    <font>
      <sz val="9"/>
      <color rgb="FF92400E"/>
      <name val="Calibri"/>
      <charset val="1"/>
    </font>
    <font>
      <b/>
      <sz val="10"/>
      <color rgb="FFFFFFFF"/>
      <name val="Calibri"/>
      <charset val="1"/>
    </font>
    <font>
      <b/>
      <sz val="9"/>
      <color rgb="FFFFFFFF"/>
      <name val="Calibri"/>
      <charset val="1"/>
    </font>
    <font>
      <b/>
      <sz val="18"/>
      <color rgb="FF1B3A6B"/>
      <name val="Calibri"/>
      <charset val="1"/>
    </font>
    <font>
      <b/>
      <sz val="18"/>
      <color rgb="FF0F766E"/>
      <name val="Calibri"/>
      <charset val="1"/>
    </font>
    <font>
      <b/>
      <sz val="18"/>
      <color rgb="FF0369A1"/>
      <name val="Calibri"/>
      <charset val="1"/>
    </font>
    <font>
      <b/>
      <sz val="18"/>
      <color rgb="FF065F46"/>
      <name val="Calibri"/>
      <charset val="1"/>
    </font>
    <font>
      <b/>
      <sz val="18"/>
      <color rgb="FF5B21B6"/>
      <name val="Calibri"/>
      <charset val="1"/>
    </font>
    <font>
      <b/>
      <sz val="18"/>
      <color rgb="FF92400E"/>
      <name val="Calibri"/>
      <charset val="1"/>
    </font>
    <font>
      <sz val="9"/>
      <color rgb="FF475569"/>
      <name val="Calibri"/>
      <charset val="1"/>
    </font>
    <font>
      <sz val="10"/>
      <color rgb="FF475569"/>
      <name val="Calibri"/>
      <charset val="1"/>
    </font>
    <font>
      <b/>
      <sz val="10"/>
      <color rgb="FF065F46"/>
      <name val="Calibri"/>
      <charset val="1"/>
    </font>
    <font>
      <i/>
      <sz val="9"/>
      <color rgb="FF94A3B8"/>
      <name val="Calibri"/>
      <charset val="1"/>
    </font>
    <font>
      <b/>
      <sz val="22"/>
      <color rgb="FFFFFFFF"/>
      <name val="Calibri"/>
      <charset val="1"/>
    </font>
    <font>
      <sz val="10"/>
      <color rgb="FFFFFFFF"/>
      <name val="Calibri"/>
      <charset val="1"/>
    </font>
    <font>
      <sz val="9"/>
      <color rgb="FF1D4ED8"/>
      <name val="Calibri"/>
      <charset val="1"/>
    </font>
    <font>
      <b/>
      <sz val="10"/>
      <color rgb="FF1D4ED8"/>
      <name val="Calibri"/>
      <charset val="1"/>
    </font>
    <font>
      <sz val="9"/>
      <color rgb="FF065F46"/>
      <name val="Calibri"/>
      <charset val="1"/>
    </font>
    <font>
      <sz val="10"/>
      <color rgb="FF065F46"/>
      <name val="Calibri"/>
      <charset val="1"/>
    </font>
    <font>
      <i/>
      <sz val="9"/>
      <color rgb="FF1D4ED8"/>
      <name val="Calibri"/>
      <charset val="1"/>
    </font>
    <font>
      <i/>
      <sz val="9"/>
      <color rgb="FF065F46"/>
      <name val="Calibri"/>
      <charset val="1"/>
    </font>
    <font>
      <i/>
      <sz val="9"/>
      <color rgb="FF92400E"/>
      <name val="Calibri"/>
      <charset val="1"/>
    </font>
    <font>
      <i/>
      <sz val="9"/>
      <color rgb="FF475569"/>
      <name val="Calibri"/>
      <charset val="1"/>
    </font>
    <font>
      <i/>
      <sz val="8"/>
      <color rgb="FF475569"/>
      <name val="Calibri"/>
      <charset val="1"/>
    </font>
    <font>
      <b/>
      <sz val="9"/>
      <color rgb="FF475569"/>
      <name val="Calibri"/>
      <charset val="1"/>
    </font>
    <font>
      <sz val="9"/>
      <color rgb="FF1E3A5F"/>
      <name val="Calibri"/>
      <charset val="1"/>
    </font>
    <font>
      <b/>
      <sz val="9"/>
      <color rgb="FF065F46"/>
      <name val="Calibri"/>
      <charset val="1"/>
    </font>
    <font>
      <sz val="11"/>
      <color rgb="FFFFFFFF"/>
      <name val="Calibri"/>
      <charset val="1"/>
    </font>
  </fonts>
  <fills count="15">
    <fill>
      <patternFill patternType="none"/>
    </fill>
    <fill>
      <patternFill patternType="gray125"/>
    </fill>
    <fill>
      <patternFill patternType="solid">
        <fgColor rgb="FF1B3A6B"/>
        <bgColor rgb="FF1E3A5F"/>
      </patternFill>
    </fill>
    <fill>
      <patternFill patternType="solid">
        <fgColor rgb="FF0D9488"/>
        <bgColor rgb="FF059669"/>
      </patternFill>
    </fill>
    <fill>
      <patternFill patternType="solid">
        <fgColor rgb="FFFEF3C7"/>
        <bgColor rgb="FFF1F5F9"/>
      </patternFill>
    </fill>
    <fill>
      <patternFill patternType="solid">
        <fgColor rgb="FF0EA5E9"/>
        <bgColor rgb="FF0D9488"/>
      </patternFill>
    </fill>
    <fill>
      <patternFill patternType="solid">
        <fgColor rgb="FFFFFFFF"/>
        <bgColor rgb="FFF1F5F9"/>
      </patternFill>
    </fill>
    <fill>
      <patternFill patternType="solid">
        <fgColor rgb="FF065F46"/>
        <bgColor rgb="FF0F766E"/>
      </patternFill>
    </fill>
    <fill>
      <patternFill patternType="solid">
        <fgColor rgb="FF5B21B6"/>
        <bgColor rgb="FF800080"/>
      </patternFill>
    </fill>
    <fill>
      <patternFill patternType="solid">
        <fgColor rgb="FF0F766E"/>
        <bgColor rgb="FF0369A1"/>
      </patternFill>
    </fill>
    <fill>
      <patternFill patternType="solid">
        <fgColor rgb="FF92400E"/>
        <bgColor rgb="FF993366"/>
      </patternFill>
    </fill>
    <fill>
      <patternFill patternType="solid">
        <fgColor rgb="FFF1F5F9"/>
        <bgColor rgb="FFEFF6FF"/>
      </patternFill>
    </fill>
    <fill>
      <patternFill patternType="solid">
        <fgColor rgb="FFECFDF5"/>
        <bgColor rgb="FFEFF6FF"/>
      </patternFill>
    </fill>
    <fill>
      <patternFill patternType="solid">
        <fgColor rgb="FFEFF6FF"/>
        <bgColor rgb="FFF1F5F9"/>
      </patternFill>
    </fill>
    <fill>
      <patternFill patternType="solid">
        <fgColor rgb="FFD1FAE5"/>
        <bgColor rgb="FFECFDF5"/>
      </patternFill>
    </fill>
  </fills>
  <borders count="18">
    <border>
      <left/>
      <right/>
      <top/>
      <bottom/>
      <diagonal/>
    </border>
    <border>
      <left style="medium">
        <color rgb="FF1B3A6B"/>
      </left>
      <right style="medium">
        <color rgb="FF1B3A6B"/>
      </right>
      <top style="medium">
        <color rgb="FF1B3A6B"/>
      </top>
      <bottom/>
      <diagonal/>
    </border>
    <border>
      <left style="medium">
        <color rgb="FF0D9488"/>
      </left>
      <right style="medium">
        <color rgb="FF0D9488"/>
      </right>
      <top style="medium">
        <color rgb="FF0D9488"/>
      </top>
      <bottom/>
      <diagonal/>
    </border>
    <border>
      <left style="medium">
        <color rgb="FF0EA5E9"/>
      </left>
      <right style="medium">
        <color rgb="FF0EA5E9"/>
      </right>
      <top style="medium">
        <color rgb="FF0EA5E9"/>
      </top>
      <bottom/>
      <diagonal/>
    </border>
    <border>
      <left style="medium">
        <color rgb="FF1B3A6B"/>
      </left>
      <right style="medium">
        <color rgb="FF1B3A6B"/>
      </right>
      <top/>
      <bottom style="medium">
        <color rgb="FF1B3A6B"/>
      </bottom>
      <diagonal/>
    </border>
    <border>
      <left style="medium">
        <color rgb="FF0D9488"/>
      </left>
      <right style="medium">
        <color rgb="FF0D9488"/>
      </right>
      <top/>
      <bottom style="medium">
        <color rgb="FF0D9488"/>
      </bottom>
      <diagonal/>
    </border>
    <border>
      <left style="medium">
        <color rgb="FF0EA5E9"/>
      </left>
      <right style="medium">
        <color rgb="FF0EA5E9"/>
      </right>
      <top/>
      <bottom style="medium">
        <color rgb="FF0EA5E9"/>
      </bottom>
      <diagonal/>
    </border>
    <border>
      <left style="medium">
        <color rgb="FF065F46"/>
      </left>
      <right style="medium">
        <color rgb="FF065F46"/>
      </right>
      <top style="medium">
        <color rgb="FF065F46"/>
      </top>
      <bottom/>
      <diagonal/>
    </border>
    <border>
      <left style="medium">
        <color rgb="FF5B21B6"/>
      </left>
      <right style="medium">
        <color rgb="FF5B21B6"/>
      </right>
      <top style="medium">
        <color rgb="FF5B21B6"/>
      </top>
      <bottom/>
      <diagonal/>
    </border>
    <border>
      <left style="medium">
        <color rgb="FF0F766E"/>
      </left>
      <right style="medium">
        <color rgb="FF0F766E"/>
      </right>
      <top style="medium">
        <color rgb="FF0F766E"/>
      </top>
      <bottom/>
      <diagonal/>
    </border>
    <border>
      <left style="medium">
        <color rgb="FF065F46"/>
      </left>
      <right style="medium">
        <color rgb="FF065F46"/>
      </right>
      <top/>
      <bottom style="medium">
        <color rgb="FF065F46"/>
      </bottom>
      <diagonal/>
    </border>
    <border>
      <left style="medium">
        <color rgb="FF5B21B6"/>
      </left>
      <right style="medium">
        <color rgb="FF5B21B6"/>
      </right>
      <top/>
      <bottom style="medium">
        <color rgb="FF5B21B6"/>
      </bottom>
      <diagonal/>
    </border>
    <border>
      <left style="medium">
        <color rgb="FF0F766E"/>
      </left>
      <right style="medium">
        <color rgb="FF0F766E"/>
      </right>
      <top/>
      <bottom style="medium">
        <color rgb="FF0F766E"/>
      </bottom>
      <diagonal/>
    </border>
    <border>
      <left style="medium">
        <color rgb="FF92400E"/>
      </left>
      <right style="medium">
        <color rgb="FF92400E"/>
      </right>
      <top style="medium">
        <color rgb="FF92400E"/>
      </top>
      <bottom/>
      <diagonal/>
    </border>
    <border>
      <left style="medium">
        <color rgb="FF92400E"/>
      </left>
      <right style="medium">
        <color rgb="FF92400E"/>
      </right>
      <top/>
      <bottom style="medium">
        <color rgb="FF92400E"/>
      </bottom>
      <diagonal/>
    </border>
    <border>
      <left/>
      <right/>
      <top/>
      <bottom style="thin">
        <color rgb="FFE2E8F0"/>
      </bottom>
      <diagonal/>
    </border>
    <border>
      <left style="thin">
        <color rgb="FFE2E8F0"/>
      </left>
      <right style="thin">
        <color rgb="FFE2E8F0"/>
      </right>
      <top style="thin">
        <color rgb="FFE2E8F0"/>
      </top>
      <bottom style="thin">
        <color rgb="FFE2E8F0"/>
      </bottom>
      <diagonal/>
    </border>
    <border>
      <left style="thin">
        <color rgb="FF0F766E"/>
      </left>
      <right style="thin">
        <color rgb="FF0F766E"/>
      </right>
      <top style="thin">
        <color rgb="FF0F766E"/>
      </top>
      <bottom style="thin">
        <color rgb="FF0F766E"/>
      </bottom>
      <diagonal/>
    </border>
  </borders>
  <cellStyleXfs count="1">
    <xf numFmtId="0" fontId="0" fillId="0" borderId="0"/>
  </cellStyleXfs>
  <cellXfs count="77">
    <xf numFmtId="0" fontId="0" fillId="0" borderId="0" xfId="0"/>
    <xf numFmtId="0" fontId="6" fillId="9" borderId="9" xfId="0" applyFont="1" applyFill="1" applyBorder="1" applyAlignment="1">
      <alignment horizontal="center" vertical="center"/>
    </xf>
    <xf numFmtId="0" fontId="6" fillId="8" borderId="8" xfId="0" applyFont="1" applyFill="1" applyBorder="1" applyAlignment="1">
      <alignment horizontal="center" vertical="center"/>
    </xf>
    <xf numFmtId="0" fontId="6" fillId="7" borderId="7" xfId="0" applyFont="1" applyFill="1" applyBorder="1" applyAlignment="1">
      <alignment horizontal="center" vertical="center"/>
    </xf>
    <xf numFmtId="165" fontId="9" fillId="6" borderId="6" xfId="0" applyNumberFormat="1" applyFont="1" applyFill="1" applyBorder="1" applyAlignment="1">
      <alignment horizontal="center" vertical="center"/>
    </xf>
    <xf numFmtId="164" fontId="8" fillId="6" borderId="5" xfId="0" applyNumberFormat="1" applyFont="1" applyFill="1" applyBorder="1" applyAlignment="1">
      <alignment horizontal="center" vertical="center"/>
    </xf>
    <xf numFmtId="164" fontId="7" fillId="6" borderId="4" xfId="0" applyNumberFormat="1" applyFont="1" applyFill="1" applyBorder="1" applyAlignment="1">
      <alignment horizontal="center" vertical="center"/>
    </xf>
    <xf numFmtId="0" fontId="6" fillId="5"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2" borderId="1" xfId="0" applyFont="1" applyFill="1" applyBorder="1" applyAlignment="1">
      <alignment horizontal="center" vertical="center"/>
    </xf>
    <xf numFmtId="0" fontId="5" fillId="2" borderId="0" xfId="0" applyFont="1" applyFill="1" applyAlignment="1">
      <alignment horizontal="left" vertical="center" indent="1"/>
    </xf>
    <xf numFmtId="0" fontId="4" fillId="4" borderId="0" xfId="0" applyFont="1" applyFill="1" applyAlignment="1">
      <alignment horizontal="center" vertical="center" wrapText="1"/>
    </xf>
    <xf numFmtId="0" fontId="3" fillId="3" borderId="0" xfId="0" applyFont="1" applyFill="1" applyAlignment="1">
      <alignment horizontal="center" vertical="center"/>
    </xf>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3" borderId="0" xfId="0" applyFill="1"/>
    <xf numFmtId="0" fontId="0" fillId="6" borderId="15" xfId="0" applyFill="1" applyBorder="1"/>
    <xf numFmtId="0" fontId="0" fillId="6" borderId="0" xfId="0" applyFill="1"/>
    <xf numFmtId="0" fontId="0" fillId="11" borderId="15" xfId="0" applyFill="1" applyBorder="1"/>
    <xf numFmtId="0" fontId="0" fillId="11" borderId="0" xfId="0" applyFill="1"/>
    <xf numFmtId="0" fontId="5" fillId="2" borderId="0" xfId="0" applyFont="1" applyFill="1" applyAlignment="1">
      <alignment horizontal="center" vertical="center"/>
    </xf>
    <xf numFmtId="0" fontId="19" fillId="13" borderId="16" xfId="0" applyFont="1" applyFill="1" applyBorder="1" applyAlignment="1">
      <alignment horizontal="left" vertical="center" indent="1"/>
    </xf>
    <xf numFmtId="164" fontId="20" fillId="13" borderId="16" xfId="0" applyNumberFormat="1" applyFont="1" applyFill="1" applyBorder="1" applyAlignment="1">
      <alignment horizontal="center" vertical="center"/>
    </xf>
    <xf numFmtId="168" fontId="20" fillId="13" borderId="16" xfId="0" applyNumberFormat="1" applyFont="1" applyFill="1" applyBorder="1" applyAlignment="1">
      <alignment horizontal="center" vertical="center"/>
    </xf>
    <xf numFmtId="1" fontId="20" fillId="13" borderId="16" xfId="0" applyNumberFormat="1" applyFont="1" applyFill="1" applyBorder="1" applyAlignment="1">
      <alignment horizontal="center" vertical="center"/>
    </xf>
    <xf numFmtId="169" fontId="20" fillId="13" borderId="16" xfId="0" applyNumberFormat="1" applyFont="1" applyFill="1" applyBorder="1" applyAlignment="1">
      <alignment horizontal="center" vertical="center"/>
    </xf>
    <xf numFmtId="170" fontId="20" fillId="13" borderId="16" xfId="0" applyNumberFormat="1" applyFont="1" applyFill="1" applyBorder="1" applyAlignment="1">
      <alignment horizontal="center" vertical="center"/>
    </xf>
    <xf numFmtId="171" fontId="20" fillId="13" borderId="16" xfId="0" applyNumberFormat="1" applyFont="1" applyFill="1" applyBorder="1" applyAlignment="1">
      <alignment horizontal="center" vertical="center"/>
    </xf>
    <xf numFmtId="0" fontId="21" fillId="12" borderId="16" xfId="0" applyFont="1" applyFill="1" applyBorder="1" applyAlignment="1">
      <alignment horizontal="left" vertical="center" indent="1"/>
    </xf>
    <xf numFmtId="164" fontId="22" fillId="12" borderId="16" xfId="0" applyNumberFormat="1" applyFont="1" applyFill="1" applyBorder="1" applyAlignment="1">
      <alignment horizontal="center" vertical="center"/>
    </xf>
    <xf numFmtId="165" fontId="22" fillId="12" borderId="16" xfId="0" applyNumberFormat="1" applyFont="1" applyFill="1" applyBorder="1" applyAlignment="1">
      <alignment horizontal="center" vertical="center"/>
    </xf>
    <xf numFmtId="0" fontId="6" fillId="3" borderId="17" xfId="0" applyFont="1" applyFill="1" applyBorder="1" applyAlignment="1">
      <alignment horizontal="center" vertical="center" wrapText="1"/>
    </xf>
    <xf numFmtId="0" fontId="6" fillId="2" borderId="17" xfId="0" applyFont="1" applyFill="1" applyBorder="1" applyAlignment="1">
      <alignment horizontal="center" vertical="center"/>
    </xf>
    <xf numFmtId="164" fontId="29" fillId="6" borderId="15" xfId="0" applyNumberFormat="1" applyFont="1" applyFill="1" applyBorder="1" applyAlignment="1">
      <alignment horizontal="center" vertical="center"/>
    </xf>
    <xf numFmtId="166" fontId="29" fillId="6" borderId="15" xfId="0" applyNumberFormat="1" applyFont="1" applyFill="1" applyBorder="1" applyAlignment="1">
      <alignment horizontal="center" vertical="center"/>
    </xf>
    <xf numFmtId="164" fontId="30" fillId="14" borderId="15" xfId="0" applyNumberFormat="1" applyFont="1" applyFill="1" applyBorder="1" applyAlignment="1">
      <alignment horizontal="center" vertical="center"/>
    </xf>
    <xf numFmtId="10" fontId="30" fillId="6" borderId="15" xfId="0" applyNumberFormat="1" applyFont="1" applyFill="1" applyBorder="1" applyAlignment="1">
      <alignment horizontal="center" vertical="center"/>
    </xf>
    <xf numFmtId="164" fontId="29" fillId="11" borderId="15" xfId="0" applyNumberFormat="1" applyFont="1" applyFill="1" applyBorder="1" applyAlignment="1">
      <alignment horizontal="center" vertical="center"/>
    </xf>
    <xf numFmtId="166" fontId="29" fillId="11" borderId="15" xfId="0" applyNumberFormat="1" applyFont="1" applyFill="1" applyBorder="1" applyAlignment="1">
      <alignment horizontal="center" vertical="center"/>
    </xf>
    <xf numFmtId="10" fontId="30" fillId="11" borderId="15" xfId="0" applyNumberFormat="1" applyFont="1" applyFill="1" applyBorder="1" applyAlignment="1">
      <alignment horizontal="center" vertical="center"/>
    </xf>
    <xf numFmtId="164" fontId="6" fillId="2" borderId="17" xfId="0" applyNumberFormat="1" applyFont="1" applyFill="1" applyBorder="1" applyAlignment="1">
      <alignment horizontal="center" vertical="center"/>
    </xf>
    <xf numFmtId="166" fontId="6" fillId="2" borderId="17" xfId="0" applyNumberFormat="1" applyFont="1" applyFill="1" applyBorder="1" applyAlignment="1">
      <alignment horizontal="center" vertical="center"/>
    </xf>
    <xf numFmtId="10" fontId="6" fillId="2" borderId="17" xfId="0" applyNumberFormat="1" applyFont="1" applyFill="1" applyBorder="1" applyAlignment="1">
      <alignment horizontal="center" vertical="center"/>
    </xf>
    <xf numFmtId="164" fontId="10" fillId="6" borderId="10" xfId="0" applyNumberFormat="1" applyFont="1" applyFill="1" applyBorder="1" applyAlignment="1">
      <alignment horizontal="center" vertical="center"/>
    </xf>
    <xf numFmtId="10" fontId="11" fillId="6" borderId="11" xfId="0" applyNumberFormat="1" applyFont="1" applyFill="1" applyBorder="1" applyAlignment="1">
      <alignment horizontal="center" vertical="center"/>
    </xf>
    <xf numFmtId="164" fontId="8" fillId="6" borderId="12" xfId="0" applyNumberFormat="1" applyFont="1" applyFill="1" applyBorder="1" applyAlignment="1">
      <alignment horizontal="center" vertical="center"/>
    </xf>
    <xf numFmtId="0" fontId="6" fillId="10" borderId="13" xfId="0" applyFont="1" applyFill="1" applyBorder="1" applyAlignment="1">
      <alignment horizontal="center" vertical="center"/>
    </xf>
    <xf numFmtId="10" fontId="12" fillId="6" borderId="14" xfId="0" applyNumberFormat="1" applyFont="1" applyFill="1" applyBorder="1" applyAlignment="1">
      <alignment horizontal="center" vertical="center"/>
    </xf>
    <xf numFmtId="0" fontId="5" fillId="3" borderId="0" xfId="0" applyFont="1" applyFill="1" applyAlignment="1">
      <alignment horizontal="center" vertical="center"/>
    </xf>
    <xf numFmtId="0" fontId="13" fillId="6" borderId="15" xfId="0" applyFont="1" applyFill="1" applyBorder="1" applyAlignment="1">
      <alignment horizontal="left" vertical="center" indent="1"/>
    </xf>
    <xf numFmtId="164" fontId="14" fillId="6" borderId="15" xfId="0" applyNumberFormat="1" applyFont="1" applyFill="1" applyBorder="1" applyAlignment="1">
      <alignment horizontal="center" vertical="center"/>
    </xf>
    <xf numFmtId="0" fontId="13" fillId="11" borderId="15" xfId="0" applyFont="1" applyFill="1" applyBorder="1" applyAlignment="1">
      <alignment horizontal="left" vertical="center" indent="1"/>
    </xf>
    <xf numFmtId="166" fontId="14" fillId="11" borderId="15" xfId="0" applyNumberFormat="1" applyFont="1" applyFill="1" applyBorder="1" applyAlignment="1">
      <alignment horizontal="center" vertical="center"/>
    </xf>
    <xf numFmtId="164" fontId="15" fillId="12" borderId="15" xfId="0" applyNumberFormat="1" applyFont="1" applyFill="1" applyBorder="1" applyAlignment="1">
      <alignment horizontal="center" vertical="center"/>
    </xf>
    <xf numFmtId="166" fontId="15" fillId="12" borderId="15" xfId="0" applyNumberFormat="1" applyFont="1" applyFill="1" applyBorder="1" applyAlignment="1">
      <alignment horizontal="center" vertical="center"/>
    </xf>
    <xf numFmtId="165" fontId="14" fillId="11" borderId="15" xfId="0" applyNumberFormat="1" applyFont="1" applyFill="1" applyBorder="1" applyAlignment="1">
      <alignment horizontal="center" vertical="center"/>
    </xf>
    <xf numFmtId="10" fontId="15" fillId="12" borderId="15" xfId="0" applyNumberFormat="1" applyFont="1" applyFill="1" applyBorder="1" applyAlignment="1">
      <alignment horizontal="center" vertical="center"/>
    </xf>
    <xf numFmtId="10" fontId="14" fillId="6" borderId="15" xfId="0" applyNumberFormat="1" applyFont="1" applyFill="1" applyBorder="1" applyAlignment="1">
      <alignment horizontal="center" vertical="center"/>
    </xf>
    <xf numFmtId="167" fontId="14" fillId="11" borderId="15" xfId="0" applyNumberFormat="1" applyFont="1" applyFill="1" applyBorder="1" applyAlignment="1">
      <alignment horizontal="center" vertical="center"/>
    </xf>
    <xf numFmtId="0" fontId="16" fillId="2" borderId="0" xfId="0" applyFont="1" applyFill="1" applyAlignment="1">
      <alignment horizontal="center" vertical="center"/>
    </xf>
    <xf numFmtId="0" fontId="17" fillId="2" borderId="0" xfId="0" applyFont="1" applyFill="1" applyAlignment="1">
      <alignment horizontal="center" vertical="center"/>
    </xf>
    <xf numFmtId="0" fontId="18" fillId="3" borderId="0" xfId="0" applyFont="1" applyFill="1" applyAlignment="1">
      <alignment horizontal="left" vertical="center" indent="1"/>
    </xf>
    <xf numFmtId="0" fontId="5" fillId="2" borderId="0" xfId="0" applyFont="1" applyFill="1" applyAlignment="1">
      <alignment horizontal="center" vertical="center"/>
    </xf>
    <xf numFmtId="0" fontId="23" fillId="13" borderId="0" xfId="0" applyFont="1" applyFill="1" applyAlignment="1">
      <alignment horizontal="center" vertical="center"/>
    </xf>
    <xf numFmtId="0" fontId="24" fillId="12" borderId="0" xfId="0" applyFont="1" applyFill="1" applyAlignment="1">
      <alignment horizontal="center" vertical="center"/>
    </xf>
    <xf numFmtId="0" fontId="25" fillId="4" borderId="0" xfId="0" applyFont="1" applyFill="1" applyAlignment="1">
      <alignment horizontal="center" vertical="center"/>
    </xf>
    <xf numFmtId="0" fontId="26" fillId="11" borderId="0" xfId="0" applyFont="1" applyFill="1" applyAlignment="1">
      <alignment horizontal="center" vertical="center"/>
    </xf>
    <xf numFmtId="0" fontId="6" fillId="3" borderId="0" xfId="0" applyFont="1" applyFill="1" applyAlignment="1">
      <alignment horizontal="center" vertical="center"/>
    </xf>
    <xf numFmtId="164" fontId="14" fillId="11" borderId="15" xfId="0" applyNumberFormat="1" applyFont="1" applyFill="1" applyBorder="1" applyAlignment="1">
      <alignment horizontal="center" vertical="center"/>
    </xf>
    <xf numFmtId="0" fontId="27" fillId="11" borderId="15" xfId="0" applyFont="1" applyFill="1" applyBorder="1" applyAlignment="1">
      <alignment horizontal="left" vertical="center" indent="1"/>
    </xf>
    <xf numFmtId="166" fontId="14" fillId="6" borderId="15" xfId="0" applyNumberFormat="1" applyFont="1" applyFill="1" applyBorder="1" applyAlignment="1">
      <alignment horizontal="center" vertical="center"/>
    </xf>
    <xf numFmtId="0" fontId="27" fillId="6" borderId="15" xfId="0" applyFont="1" applyFill="1" applyBorder="1" applyAlignment="1">
      <alignment horizontal="left" vertical="center" indent="1"/>
    </xf>
    <xf numFmtId="0" fontId="28" fillId="11" borderId="0" xfId="0" applyFont="1" applyFill="1" applyAlignment="1">
      <alignment horizontal="left" vertical="center" indent="2"/>
    </xf>
    <xf numFmtId="10" fontId="14" fillId="11" borderId="15" xfId="0" applyNumberFormat="1" applyFont="1" applyFill="1" applyBorder="1" applyAlignment="1">
      <alignment horizontal="center" vertical="center"/>
    </xf>
    <xf numFmtId="167" fontId="14" fillId="6" borderId="15" xfId="0" applyNumberFormat="1" applyFont="1" applyFill="1" applyBorder="1" applyAlignment="1">
      <alignment horizontal="center" vertical="center"/>
    </xf>
    <xf numFmtId="172" fontId="14" fillId="11" borderId="15" xfId="0" applyNumberFormat="1" applyFont="1" applyFill="1" applyBorder="1" applyAlignment="1">
      <alignment horizontal="center" vertical="center"/>
    </xf>
    <xf numFmtId="0" fontId="31" fillId="3"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65F46"/>
      <rgbColor rgb="FF000080"/>
      <rgbColor rgb="FF808000"/>
      <rgbColor rgb="FF800080"/>
      <rgbColor rgb="FF0F766E"/>
      <rgbColor rgb="FFC0C0C0"/>
      <rgbColor rgb="FF878787"/>
      <rgbColor rgb="FF9999FF"/>
      <rgbColor rgb="FF993366"/>
      <rgbColor rgb="FFFEF3C7"/>
      <rgbColor rgb="FFECFDF5"/>
      <rgbColor rgb="FF660066"/>
      <rgbColor rgb="FFFF8080"/>
      <rgbColor rgb="FF0369A1"/>
      <rgbColor rgb="FFD9D9D9"/>
      <rgbColor rgb="FF000080"/>
      <rgbColor rgb="FFFF00FF"/>
      <rgbColor rgb="FFFFFF00"/>
      <rgbColor rgb="FF00FFFF"/>
      <rgbColor rgb="FF800080"/>
      <rgbColor rgb="FF800000"/>
      <rgbColor rgb="FF0D9488"/>
      <rgbColor rgb="FF0000FF"/>
      <rgbColor rgb="FF0EA5E9"/>
      <rgbColor rgb="FFEFF6FF"/>
      <rgbColor rgb="FFD1FAE5"/>
      <rgbColor rgb="FFF1F5F9"/>
      <rgbColor rgb="FF99CCFF"/>
      <rgbColor rgb="FFFF99CC"/>
      <rgbColor rgb="FFCC99FF"/>
      <rgbColor rgb="FFE2E8F0"/>
      <rgbColor rgb="FF1D4ED8"/>
      <rgbColor rgb="FF33CCCC"/>
      <rgbColor rgb="FF99CC00"/>
      <rgbColor rgb="FFFFCC00"/>
      <rgbColor rgb="FFFF9900"/>
      <rgbColor rgb="FFFF6600"/>
      <rgbColor rgb="FF475569"/>
      <rgbColor rgb="FF94A3B8"/>
      <rgbColor rgb="FF1B3A6B"/>
      <rgbColor rgb="FF059669"/>
      <rgbColor rgb="FF003300"/>
      <rgbColor rgb="FF333300"/>
      <rgbColor rgb="FF92400E"/>
      <rgbColor rgb="FF993366"/>
      <rgbColor rgb="FF5B21B6"/>
      <rgbColor rgb="FF1E3A5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Annual Cash Flow — 30 Year Projection</a:t>
            </a:r>
          </a:p>
        </c:rich>
      </c:tx>
      <c:overlay val="0"/>
      <c:spPr>
        <a:noFill/>
        <a:ln w="0">
          <a:noFill/>
        </a:ln>
      </c:spPr>
    </c:title>
    <c:autoTitleDeleted val="0"/>
    <c:plotArea>
      <c:layout/>
      <c:barChart>
        <c:barDir val="col"/>
        <c:grouping val="clustered"/>
        <c:varyColors val="0"/>
        <c:ser>
          <c:idx val="0"/>
          <c:order val="0"/>
          <c:tx>
            <c:v>Annual Cash Flow</c:v>
          </c:tx>
          <c:spPr>
            <a:solidFill>
              <a:srgbClr val="0D9488"/>
            </a:solidFill>
            <a:ln w="9360">
              <a:solidFill>
                <a:srgbClr val="0D9488"/>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Calculator!$B$45:$B$74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Calculator!$H$45:$H$74</c:f>
              <c:numCache>
                <c:formatCode>\$#,##0</c:formatCode>
                <c:ptCount val="30"/>
                <c:pt idx="0">
                  <c:v>5375.247961460288</c:v>
                </c:pt>
                <c:pt idx="1">
                  <c:v>6223.9359614602881</c:v>
                </c:pt>
                <c:pt idx="2">
                  <c:v>6426.5977214602872</c:v>
                </c:pt>
                <c:pt idx="3">
                  <c:v>6633.3127166602872</c:v>
                </c:pt>
                <c:pt idx="4">
                  <c:v>6844.162011764286</c:v>
                </c:pt>
                <c:pt idx="5">
                  <c:v>7059.2282927703645</c:v>
                </c:pt>
                <c:pt idx="6">
                  <c:v>7278.5958993965696</c:v>
                </c:pt>
                <c:pt idx="7">
                  <c:v>7502.3508581552933</c:v>
                </c:pt>
                <c:pt idx="8">
                  <c:v>7730.5809160891959</c:v>
                </c:pt>
                <c:pt idx="9">
                  <c:v>7963.3755751817744</c:v>
                </c:pt>
                <c:pt idx="10">
                  <c:v>8200.8261274562028</c:v>
                </c:pt>
                <c:pt idx="11">
                  <c:v>8443.0256907761213</c:v>
                </c:pt>
                <c:pt idx="12">
                  <c:v>8690.069245362436</c:v>
                </c:pt>
                <c:pt idx="13">
                  <c:v>8942.0536710404813</c:v>
                </c:pt>
                <c:pt idx="14">
                  <c:v>9199.0777852320825</c:v>
                </c:pt>
                <c:pt idx="15">
                  <c:v>9461.2423817075251</c:v>
                </c:pt>
                <c:pt idx="16">
                  <c:v>9728.6502701124664</c:v>
                </c:pt>
                <c:pt idx="17">
                  <c:v>10001.406316285513</c:v>
                </c:pt>
                <c:pt idx="18">
                  <c:v>10279.617483382015</c:v>
                </c:pt>
                <c:pt idx="19">
                  <c:v>10563.392873820452</c:v>
                </c:pt>
                <c:pt idx="20">
                  <c:v>10852.843772067656</c:v>
                </c:pt>
                <c:pt idx="21">
                  <c:v>11148.083688279803</c:v>
                </c:pt>
                <c:pt idx="22">
                  <c:v>11449.228402816192</c:v>
                </c:pt>
                <c:pt idx="23">
                  <c:v>11756.396011643312</c:v>
                </c:pt>
                <c:pt idx="24">
                  <c:v>12069.706972646971</c:v>
                </c:pt>
                <c:pt idx="25">
                  <c:v>12389.284152870707</c:v>
                </c:pt>
                <c:pt idx="26">
                  <c:v>12715.252876698916</c:v>
                </c:pt>
                <c:pt idx="27">
                  <c:v>13047.740975003693</c:v>
                </c:pt>
                <c:pt idx="28">
                  <c:v>13386.878835274558</c:v>
                </c:pt>
                <c:pt idx="29">
                  <c:v>13732.799452750838</c:v>
                </c:pt>
              </c:numCache>
            </c:numRef>
          </c:val>
          <c:extLst>
            <c:ext xmlns:c16="http://schemas.microsoft.com/office/drawing/2014/chart" uri="{C3380CC4-5D6E-409C-BE32-E72D297353CC}">
              <c16:uniqueId val="{00000000-24FB-438B-AF86-B06AF722FD5B}"/>
            </c:ext>
          </c:extLst>
        </c:ser>
        <c:dLbls>
          <c:showLegendKey val="0"/>
          <c:showVal val="0"/>
          <c:showCatName val="0"/>
          <c:showSerName val="0"/>
          <c:showPercent val="0"/>
          <c:showBubbleSize val="0"/>
        </c:dLbls>
        <c:gapWidth val="150"/>
        <c:axId val="6765330"/>
        <c:axId val="43519492"/>
      </c:barChart>
      <c:catAx>
        <c:axId val="6765330"/>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3519492"/>
        <c:crosses val="autoZero"/>
        <c:auto val="1"/>
        <c:lblAlgn val="ctr"/>
        <c:lblOffset val="100"/>
        <c:noMultiLvlLbl val="0"/>
      </c:catAx>
      <c:valAx>
        <c:axId val="4351949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Cash Flow ($)</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76533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Cash ROI % &amp; Total ROI % — 30 Year Trend</a:t>
            </a:r>
          </a:p>
        </c:rich>
      </c:tx>
      <c:overlay val="0"/>
      <c:spPr>
        <a:noFill/>
        <a:ln w="0">
          <a:noFill/>
        </a:ln>
      </c:spPr>
    </c:title>
    <c:autoTitleDeleted val="0"/>
    <c:plotArea>
      <c:layout/>
      <c:lineChart>
        <c:grouping val="standard"/>
        <c:varyColors val="0"/>
        <c:ser>
          <c:idx val="0"/>
          <c:order val="0"/>
          <c:tx>
            <c:v>Cash ROI %</c:v>
          </c:tx>
          <c:spPr>
            <a:ln w="28440">
              <a:solidFill>
                <a:srgbClr val="0D948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Calculator!$B$45:$B$74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Calculator!$I$45:$I$74</c:f>
              <c:numCache>
                <c:formatCode>0.00%</c:formatCode>
                <c:ptCount val="30"/>
                <c:pt idx="0">
                  <c:v>0.14626525065198062</c:v>
                </c:pt>
                <c:pt idx="1">
                  <c:v>0.16935880167238879</c:v>
                </c:pt>
                <c:pt idx="2">
                  <c:v>0.17487340738667448</c:v>
                </c:pt>
                <c:pt idx="3">
                  <c:v>0.1804983052152459</c:v>
                </c:pt>
                <c:pt idx="4">
                  <c:v>0.18623570100038875</c:v>
                </c:pt>
                <c:pt idx="5">
                  <c:v>0.19208784470123441</c:v>
                </c:pt>
                <c:pt idx="6">
                  <c:v>0.19805703127609714</c:v>
                </c:pt>
                <c:pt idx="7">
                  <c:v>0.20414560158245695</c:v>
                </c:pt>
                <c:pt idx="8">
                  <c:v>0.21035594329494411</c:v>
                </c:pt>
                <c:pt idx="9">
                  <c:v>0.21669049184168093</c:v>
                </c:pt>
                <c:pt idx="10">
                  <c:v>0.22315173135935246</c:v>
                </c:pt>
                <c:pt idx="11">
                  <c:v>0.22974219566737744</c:v>
                </c:pt>
                <c:pt idx="12">
                  <c:v>0.23646446926156289</c:v>
                </c:pt>
                <c:pt idx="13">
                  <c:v>0.24332118832763214</c:v>
                </c:pt>
                <c:pt idx="14">
                  <c:v>0.25031504177502267</c:v>
                </c:pt>
                <c:pt idx="15">
                  <c:v>0.25744877229136121</c:v>
                </c:pt>
                <c:pt idx="16">
                  <c:v>0.26472517741802631</c:v>
                </c:pt>
                <c:pt idx="17">
                  <c:v>0.27214711064722485</c:v>
                </c:pt>
                <c:pt idx="18">
                  <c:v>0.2797174825410072</c:v>
                </c:pt>
                <c:pt idx="19">
                  <c:v>0.28743926187266539</c:v>
                </c:pt>
                <c:pt idx="20">
                  <c:v>0.2953154767909566</c:v>
                </c:pt>
                <c:pt idx="21">
                  <c:v>0.30334921600761366</c:v>
                </c:pt>
                <c:pt idx="22">
                  <c:v>0.31154363000860386</c:v>
                </c:pt>
                <c:pt idx="23">
                  <c:v>0.31990193228961394</c:v>
                </c:pt>
                <c:pt idx="24">
                  <c:v>0.32842740061624409</c:v>
                </c:pt>
                <c:pt idx="25">
                  <c:v>0.33712337830940697</c:v>
                </c:pt>
                <c:pt idx="26">
                  <c:v>0.34599327555643311</c:v>
                </c:pt>
                <c:pt idx="27">
                  <c:v>0.35504057074839979</c:v>
                </c:pt>
                <c:pt idx="28">
                  <c:v>0.36426881184420568</c:v>
                </c:pt>
                <c:pt idx="29">
                  <c:v>0.37368161776192754</c:v>
                </c:pt>
              </c:numCache>
            </c:numRef>
          </c:val>
          <c:smooth val="1"/>
          <c:extLst>
            <c:ext xmlns:c16="http://schemas.microsoft.com/office/drawing/2014/chart" uri="{C3380CC4-5D6E-409C-BE32-E72D297353CC}">
              <c16:uniqueId val="{00000000-D113-4E4C-904B-77AA727C744E}"/>
            </c:ext>
          </c:extLst>
        </c:ser>
        <c:ser>
          <c:idx val="1"/>
          <c:order val="1"/>
          <c:tx>
            <c:v>Total ROI %</c:v>
          </c:tx>
          <c:spPr>
            <a:ln w="28440">
              <a:solidFill>
                <a:srgbClr val="1B3A6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Calculator!$B$45:$B$74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Calculator!$L$45:$L$74</c:f>
              <c:numCache>
                <c:formatCode>0.00%</c:formatCode>
                <c:ptCount val="30"/>
                <c:pt idx="0">
                  <c:v>0.16621192496661044</c:v>
                </c:pt>
                <c:pt idx="1">
                  <c:v>0.1904684124620907</c:v>
                </c:pt>
                <c:pt idx="2">
                  <c:v>0.1972137564926838</c:v>
                </c:pt>
                <c:pt idx="3">
                  <c:v>0.20414114748033627</c:v>
                </c:pt>
                <c:pt idx="4">
                  <c:v>0.21125697473785157</c:v>
                </c:pt>
                <c:pt idx="5">
                  <c:v>0.21856791560072425</c:v>
                </c:pt>
                <c:pt idx="6">
                  <c:v>0.22608095052974223</c:v>
                </c:pt>
                <c:pt idx="7">
                  <c:v>0.23380337906030918</c:v>
                </c:pt>
                <c:pt idx="8">
                  <c:v>0.24174283664717891</c:v>
                </c:pt>
                <c:pt idx="9">
                  <c:v>0.24990731245611303</c:v>
                </c:pt>
                <c:pt idx="10">
                  <c:v>0.25830516815697041</c:v>
                </c:pt>
                <c:pt idx="11">
                  <c:v>0.26694515777589434</c:v>
                </c:pt>
                <c:pt idx="12">
                  <c:v>0.27583644866761425</c:v>
                </c:pt>
                <c:pt idx="13">
                  <c:v>0.28498864367242194</c:v>
                </c:pt>
                <c:pt idx="14">
                  <c:v>0.29441180452612797</c:v>
                </c:pt>
                <c:pt idx="15">
                  <c:v>0.30411647659527713</c:v>
                </c:pt>
                <c:pt idx="16">
                  <c:v>0.31411371501409141</c:v>
                </c:pt>
                <c:pt idx="17">
                  <c:v>0.32441511230406361</c:v>
                </c:pt>
                <c:pt idx="18">
                  <c:v>0.33503282756181141</c:v>
                </c:pt>
                <c:pt idx="19">
                  <c:v>0.34597961730579224</c:v>
                </c:pt>
                <c:pt idx="20">
                  <c:v>0.35726886807773134</c:v>
                </c:pt>
                <c:pt idx="21">
                  <c:v>0.36891463090019622</c:v>
                </c:pt>
                <c:pt idx="22">
                  <c:v>0.3809316576976412</c:v>
                </c:pt>
                <c:pt idx="23">
                  <c:v>0.39333543979448743</c:v>
                </c:pt>
                <c:pt idx="24">
                  <c:v>0.40614224861040726</c:v>
                </c:pt>
                <c:pt idx="25">
                  <c:v>0.41936917867996742</c:v>
                </c:pt>
                <c:pt idx="26">
                  <c:v>0.43303419313118191</c:v>
                </c:pt>
                <c:pt idx="27">
                  <c:v>0.44715617176534911</c:v>
                </c:pt>
                <c:pt idx="28">
                  <c:v>0.4617549618888307</c:v>
                </c:pt>
                <c:pt idx="29">
                  <c:v>0.47685143205619118</c:v>
                </c:pt>
              </c:numCache>
            </c:numRef>
          </c:val>
          <c:smooth val="1"/>
          <c:extLst>
            <c:ext xmlns:c16="http://schemas.microsoft.com/office/drawing/2014/chart" uri="{C3380CC4-5D6E-409C-BE32-E72D297353CC}">
              <c16:uniqueId val="{00000001-D113-4E4C-904B-77AA727C744E}"/>
            </c:ext>
          </c:extLst>
        </c:ser>
        <c:dLbls>
          <c:showLegendKey val="0"/>
          <c:showVal val="0"/>
          <c:showCatName val="0"/>
          <c:showSerName val="0"/>
          <c:showPercent val="0"/>
          <c:showBubbleSize val="0"/>
        </c:dLbls>
        <c:hiLowLines>
          <c:spPr>
            <a:ln w="0">
              <a:noFill/>
            </a:ln>
          </c:spPr>
        </c:hiLowLines>
        <c:smooth val="0"/>
        <c:axId val="88534916"/>
        <c:axId val="86001835"/>
      </c:lineChart>
      <c:catAx>
        <c:axId val="88534916"/>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6001835"/>
        <c:crosses val="autoZero"/>
        <c:auto val="1"/>
        <c:lblAlgn val="ctr"/>
        <c:lblOffset val="100"/>
        <c:noMultiLvlLbl val="0"/>
      </c:catAx>
      <c:valAx>
        <c:axId val="8600183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ROI (%)</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53491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Cumulative Equity Accrued — 30 Years</a:t>
            </a:r>
          </a:p>
        </c:rich>
      </c:tx>
      <c:overlay val="0"/>
      <c:spPr>
        <a:noFill/>
        <a:ln w="0">
          <a:noFill/>
        </a:ln>
      </c:spPr>
    </c:title>
    <c:autoTitleDeleted val="0"/>
    <c:plotArea>
      <c:layout/>
      <c:lineChart>
        <c:grouping val="standard"/>
        <c:varyColors val="0"/>
        <c:ser>
          <c:idx val="0"/>
          <c:order val="0"/>
          <c:tx>
            <c:v>Cumulative Equity</c:v>
          </c:tx>
          <c:spPr>
            <a:ln w="28440">
              <a:solidFill>
                <a:srgbClr val="059669"/>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Calculator!$B$45:$B$74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Calculator!$K$45:$K$74</c:f>
              <c:numCache>
                <c:formatCode>\$#,##0</c:formatCode>
                <c:ptCount val="30"/>
                <c:pt idx="0">
                  <c:v>733.04028106264593</c:v>
                </c:pt>
                <c:pt idx="1">
                  <c:v>1508.8184775841912</c:v>
                </c:pt>
                <c:pt idx="2">
                  <c:v>2329.8263072300338</c:v>
                </c:pt>
                <c:pt idx="3">
                  <c:v>3198.7007604721039</c:v>
                </c:pt>
                <c:pt idx="4">
                  <c:v>4118.232570323863</c:v>
                </c:pt>
                <c:pt idx="5">
                  <c:v>5091.3751758801145</c:v>
                </c:pt>
                <c:pt idx="6">
                  <c:v>6121.2542084515717</c:v>
                </c:pt>
                <c:pt idx="7">
                  <c:v>7211.1775307626403</c:v>
                </c:pt>
                <c:pt idx="8">
                  <c:v>8364.6458614572693</c:v>
                </c:pt>
                <c:pt idx="9">
                  <c:v>9585.36401903765</c:v>
                </c:pt>
                <c:pt idx="10">
                  <c:v>10877.25282135011</c:v>
                </c:pt>
                <c:pt idx="11">
                  <c:v>12244.461678838106</c:v>
                </c:pt>
                <c:pt idx="12">
                  <c:v>13691.381922010494</c:v>
                </c:pt>
                <c:pt idx="13">
                  <c:v>15222.66090593152</c:v>
                </c:pt>
                <c:pt idx="14">
                  <c:v>16843.216937034642</c:v>
                </c:pt>
                <c:pt idx="15">
                  <c:v>18558.255070203551</c:v>
                </c:pt>
                <c:pt idx="16">
                  <c:v>20373.283826858944</c:v>
                </c:pt>
                <c:pt idx="17">
                  <c:v>22294.132887747768</c:v>
                </c:pt>
                <c:pt idx="18">
                  <c:v>24326.971817262322</c:v>
                </c:pt>
                <c:pt idx="19">
                  <c:v>26478.329879429733</c:v>
                </c:pt>
                <c:pt idx="20">
                  <c:v>28755.117009218702</c:v>
                </c:pt>
                <c:pt idx="21">
                  <c:v>31164.64600652111</c:v>
                </c:pt>
                <c:pt idx="22">
                  <c:v>33714.65602409323</c:v>
                </c:pt>
                <c:pt idx="23">
                  <c:v>36413.337424897334</c:v>
                </c:pt>
                <c:pt idx="24">
                  <c:v>39269.358088682828</c:v>
                </c:pt>
                <c:pt idx="25">
                  <c:v>42291.891252300928</c:v>
                </c:pt>
                <c:pt idx="26">
                  <c:v>45490.644973172944</c:v>
                </c:pt>
                <c:pt idx="27">
                  <c:v>48875.893310545835</c:v>
                </c:pt>
                <c:pt idx="28">
                  <c:v>52458.509324685801</c:v>
                </c:pt>
                <c:pt idx="29">
                  <c:v>56249.999999999985</c:v>
                </c:pt>
              </c:numCache>
            </c:numRef>
          </c:val>
          <c:smooth val="1"/>
          <c:extLst>
            <c:ext xmlns:c16="http://schemas.microsoft.com/office/drawing/2014/chart" uri="{C3380CC4-5D6E-409C-BE32-E72D297353CC}">
              <c16:uniqueId val="{00000000-1E53-4EA9-87FC-50DC5D0F484D}"/>
            </c:ext>
          </c:extLst>
        </c:ser>
        <c:dLbls>
          <c:showLegendKey val="0"/>
          <c:showVal val="0"/>
          <c:showCatName val="0"/>
          <c:showSerName val="0"/>
          <c:showPercent val="0"/>
          <c:showBubbleSize val="0"/>
        </c:dLbls>
        <c:hiLowLines>
          <c:spPr>
            <a:ln w="0">
              <a:noFill/>
            </a:ln>
          </c:spPr>
        </c:hiLowLines>
        <c:smooth val="0"/>
        <c:axId val="75700644"/>
        <c:axId val="24224519"/>
      </c:lineChart>
      <c:catAx>
        <c:axId val="75700644"/>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4224519"/>
        <c:crosses val="autoZero"/>
        <c:auto val="1"/>
        <c:lblAlgn val="ctr"/>
        <c:lblOffset val="100"/>
        <c:noMultiLvlLbl val="0"/>
      </c:catAx>
      <c:valAx>
        <c:axId val="2422451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Equity ($)</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570064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Annual Total Return (Cash Flow + Equity Gain) — 30 Years</a:t>
            </a:r>
          </a:p>
        </c:rich>
      </c:tx>
      <c:overlay val="0"/>
      <c:spPr>
        <a:noFill/>
        <a:ln w="0">
          <a:noFill/>
        </a:ln>
      </c:spPr>
    </c:title>
    <c:autoTitleDeleted val="0"/>
    <c:plotArea>
      <c:layout/>
      <c:barChart>
        <c:barDir val="col"/>
        <c:grouping val="stacked"/>
        <c:varyColors val="0"/>
        <c:ser>
          <c:idx val="0"/>
          <c:order val="0"/>
          <c:tx>
            <c:v>Cash Flow</c:v>
          </c:tx>
          <c:spPr>
            <a:solidFill>
              <a:srgbClr val="0EA5E9"/>
            </a:solidFill>
            <a:ln w="9360">
              <a:solidFill>
                <a:srgbClr val="0EA5E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Calculator!$B$45:$B$74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Calculator!$H$45:$H$74</c:f>
              <c:numCache>
                <c:formatCode>\$#,##0</c:formatCode>
                <c:ptCount val="30"/>
                <c:pt idx="0">
                  <c:v>5375.247961460288</c:v>
                </c:pt>
                <c:pt idx="1">
                  <c:v>6223.9359614602881</c:v>
                </c:pt>
                <c:pt idx="2">
                  <c:v>6426.5977214602872</c:v>
                </c:pt>
                <c:pt idx="3">
                  <c:v>6633.3127166602872</c:v>
                </c:pt>
                <c:pt idx="4">
                  <c:v>6844.162011764286</c:v>
                </c:pt>
                <c:pt idx="5">
                  <c:v>7059.2282927703645</c:v>
                </c:pt>
                <c:pt idx="6">
                  <c:v>7278.5958993965696</c:v>
                </c:pt>
                <c:pt idx="7">
                  <c:v>7502.3508581552933</c:v>
                </c:pt>
                <c:pt idx="8">
                  <c:v>7730.5809160891959</c:v>
                </c:pt>
                <c:pt idx="9">
                  <c:v>7963.3755751817744</c:v>
                </c:pt>
                <c:pt idx="10">
                  <c:v>8200.8261274562028</c:v>
                </c:pt>
                <c:pt idx="11">
                  <c:v>8443.0256907761213</c:v>
                </c:pt>
                <c:pt idx="12">
                  <c:v>8690.069245362436</c:v>
                </c:pt>
                <c:pt idx="13">
                  <c:v>8942.0536710404813</c:v>
                </c:pt>
                <c:pt idx="14">
                  <c:v>9199.0777852320825</c:v>
                </c:pt>
                <c:pt idx="15">
                  <c:v>9461.2423817075251</c:v>
                </c:pt>
                <c:pt idx="16">
                  <c:v>9728.6502701124664</c:v>
                </c:pt>
                <c:pt idx="17">
                  <c:v>10001.406316285513</c:v>
                </c:pt>
                <c:pt idx="18">
                  <c:v>10279.617483382015</c:v>
                </c:pt>
                <c:pt idx="19">
                  <c:v>10563.392873820452</c:v>
                </c:pt>
                <c:pt idx="20">
                  <c:v>10852.843772067656</c:v>
                </c:pt>
                <c:pt idx="21">
                  <c:v>11148.083688279803</c:v>
                </c:pt>
                <c:pt idx="22">
                  <c:v>11449.228402816192</c:v>
                </c:pt>
                <c:pt idx="23">
                  <c:v>11756.396011643312</c:v>
                </c:pt>
                <c:pt idx="24">
                  <c:v>12069.706972646971</c:v>
                </c:pt>
                <c:pt idx="25">
                  <c:v>12389.284152870707</c:v>
                </c:pt>
                <c:pt idx="26">
                  <c:v>12715.252876698916</c:v>
                </c:pt>
                <c:pt idx="27">
                  <c:v>13047.740975003693</c:v>
                </c:pt>
                <c:pt idx="28">
                  <c:v>13386.878835274558</c:v>
                </c:pt>
                <c:pt idx="29">
                  <c:v>13732.799452750838</c:v>
                </c:pt>
              </c:numCache>
            </c:numRef>
          </c:val>
          <c:extLst>
            <c:ext xmlns:c16="http://schemas.microsoft.com/office/drawing/2014/chart" uri="{C3380CC4-5D6E-409C-BE32-E72D297353CC}">
              <c16:uniqueId val="{00000000-9AA2-46C1-9CEE-A86999E9687C}"/>
            </c:ext>
          </c:extLst>
        </c:ser>
        <c:ser>
          <c:idx val="1"/>
          <c:order val="1"/>
          <c:tx>
            <c:v>Equity Gained</c:v>
          </c:tx>
          <c:spPr>
            <a:solidFill>
              <a:srgbClr val="059669"/>
            </a:solidFill>
            <a:ln w="9360">
              <a:solidFill>
                <a:srgbClr val="05966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Calculator!$B$45:$B$74</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Calculator!$J$45:$J$74</c:f>
              <c:numCache>
                <c:formatCode>\$#,##0</c:formatCode>
                <c:ptCount val="30"/>
                <c:pt idx="0">
                  <c:v>733.04028106264593</c:v>
                </c:pt>
                <c:pt idx="1">
                  <c:v>775.77819652154528</c:v>
                </c:pt>
                <c:pt idx="2">
                  <c:v>821.00782964584266</c:v>
                </c:pt>
                <c:pt idx="3">
                  <c:v>868.87445324207022</c:v>
                </c:pt>
                <c:pt idx="4">
                  <c:v>919.53180985175936</c:v>
                </c:pt>
                <c:pt idx="5">
                  <c:v>973.14260555625162</c:v>
                </c:pt>
                <c:pt idx="6">
                  <c:v>1029.8790325714567</c:v>
                </c:pt>
                <c:pt idx="7">
                  <c:v>1089.9233223110687</c:v>
                </c:pt>
                <c:pt idx="8">
                  <c:v>1153.4683306946292</c:v>
                </c:pt>
                <c:pt idx="9">
                  <c:v>1220.71815758038</c:v>
                </c:pt>
                <c:pt idx="10">
                  <c:v>1291.88880231246</c:v>
                </c:pt>
                <c:pt idx="11">
                  <c:v>1367.2088574879961</c:v>
                </c:pt>
                <c:pt idx="12">
                  <c:v>1446.9202431723886</c:v>
                </c:pt>
                <c:pt idx="13">
                  <c:v>1531.2789839210257</c:v>
                </c:pt>
                <c:pt idx="14">
                  <c:v>1620.5560311031209</c:v>
                </c:pt>
                <c:pt idx="15">
                  <c:v>1715.0381331689089</c:v>
                </c:pt>
                <c:pt idx="16">
                  <c:v>1815.028756655393</c:v>
                </c:pt>
                <c:pt idx="17">
                  <c:v>1920.8490608888249</c:v>
                </c:pt>
                <c:pt idx="18">
                  <c:v>2032.8389295145539</c:v>
                </c:pt>
                <c:pt idx="19">
                  <c:v>2151.3580621674128</c:v>
                </c:pt>
                <c:pt idx="20">
                  <c:v>2276.7871297889706</c:v>
                </c:pt>
                <c:pt idx="21">
                  <c:v>2409.5289973024087</c:v>
                </c:pt>
                <c:pt idx="22">
                  <c:v>2550.0100175721213</c:v>
                </c:pt>
                <c:pt idx="23">
                  <c:v>2698.6814008041024</c:v>
                </c:pt>
                <c:pt idx="24">
                  <c:v>2856.0206637854958</c:v>
                </c:pt>
                <c:pt idx="25">
                  <c:v>3022.5331636180972</c:v>
                </c:pt>
                <c:pt idx="26">
                  <c:v>3198.7537208720182</c:v>
                </c:pt>
                <c:pt idx="27">
                  <c:v>3385.2483373728883</c:v>
                </c:pt>
                <c:pt idx="28">
                  <c:v>3582.6160141399691</c:v>
                </c:pt>
                <c:pt idx="29">
                  <c:v>3791.4906753141868</c:v>
                </c:pt>
              </c:numCache>
            </c:numRef>
          </c:val>
          <c:extLst>
            <c:ext xmlns:c16="http://schemas.microsoft.com/office/drawing/2014/chart" uri="{C3380CC4-5D6E-409C-BE32-E72D297353CC}">
              <c16:uniqueId val="{00000001-9AA2-46C1-9CEE-A86999E9687C}"/>
            </c:ext>
          </c:extLst>
        </c:ser>
        <c:dLbls>
          <c:showLegendKey val="0"/>
          <c:showVal val="0"/>
          <c:showCatName val="0"/>
          <c:showSerName val="0"/>
          <c:showPercent val="0"/>
          <c:showBubbleSize val="0"/>
        </c:dLbls>
        <c:gapWidth val="150"/>
        <c:overlap val="100"/>
        <c:axId val="85961418"/>
        <c:axId val="46591000"/>
      </c:barChart>
      <c:catAx>
        <c:axId val="85961418"/>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6591000"/>
        <c:crosses val="autoZero"/>
        <c:auto val="1"/>
        <c:lblAlgn val="ctr"/>
        <c:lblOffset val="100"/>
        <c:noMultiLvlLbl val="0"/>
      </c:catAx>
      <c:valAx>
        <c:axId val="4659100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Total Return ($)</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96141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20</xdr:col>
      <xdr:colOff>159840</xdr:colOff>
      <xdr:row>25</xdr:row>
      <xdr:rowOff>10440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1</xdr:colOff>
      <xdr:row>3</xdr:row>
      <xdr:rowOff>11906</xdr:rowOff>
    </xdr:from>
    <xdr:to>
      <xdr:col>34</xdr:col>
      <xdr:colOff>156644</xdr:colOff>
      <xdr:row>25</xdr:row>
      <xdr:rowOff>19171</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26</xdr:row>
      <xdr:rowOff>83343</xdr:rowOff>
    </xdr:from>
    <xdr:to>
      <xdr:col>20</xdr:col>
      <xdr:colOff>163015</xdr:colOff>
      <xdr:row>48</xdr:row>
      <xdr:rowOff>90608</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381001</xdr:colOff>
      <xdr:row>26</xdr:row>
      <xdr:rowOff>47625</xdr:rowOff>
    </xdr:from>
    <xdr:to>
      <xdr:col>34</xdr:col>
      <xdr:colOff>144738</xdr:colOff>
      <xdr:row>48</xdr:row>
      <xdr:rowOff>54890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19"/>
  <sheetViews>
    <sheetView showGridLines="0" zoomScale="145" zoomScaleNormal="145" workbookViewId="0">
      <selection activeCell="B23" sqref="B23:C23"/>
    </sheetView>
  </sheetViews>
  <sheetFormatPr defaultColWidth="8.6328125" defaultRowHeight="14.5" x14ac:dyDescent="0.35"/>
  <cols>
    <col min="1" max="1" width="1.54296875" customWidth="1"/>
    <col min="2" max="2" width="28" customWidth="1"/>
    <col min="3" max="3" width="16" customWidth="1"/>
    <col min="4" max="4" width="2" customWidth="1"/>
    <col min="5" max="5" width="28" customWidth="1"/>
    <col min="6" max="6" width="16" customWidth="1"/>
    <col min="7" max="7" width="2" customWidth="1"/>
    <col min="8" max="8" width="28" customWidth="1"/>
    <col min="9" max="9" width="16" customWidth="1"/>
    <col min="10" max="10" width="2" customWidth="1"/>
    <col min="11" max="11" width="28" customWidth="1"/>
    <col min="12" max="12" width="16" customWidth="1"/>
    <col min="13" max="13" width="1.54296875" customWidth="1"/>
  </cols>
  <sheetData>
    <row r="1" spans="1:13" ht="4.5" customHeight="1" x14ac:dyDescent="0.35"/>
    <row r="2" spans="1:13" ht="60" customHeight="1" x14ac:dyDescent="0.35">
      <c r="A2" s="60" t="s">
        <v>30</v>
      </c>
      <c r="B2" s="60"/>
      <c r="C2" s="60"/>
      <c r="D2" s="60"/>
      <c r="E2" s="60"/>
      <c r="F2" s="60"/>
      <c r="G2" s="60"/>
      <c r="H2" s="60"/>
      <c r="I2" s="60"/>
      <c r="J2" s="60"/>
      <c r="K2" s="60"/>
      <c r="L2" s="60"/>
      <c r="M2" s="60"/>
    </row>
    <row r="3" spans="1:13" ht="4.5" customHeight="1" x14ac:dyDescent="0.35"/>
    <row r="4" spans="1:13" ht="24" customHeight="1" x14ac:dyDescent="0.35">
      <c r="A4" s="61" t="s">
        <v>31</v>
      </c>
      <c r="B4" s="61"/>
      <c r="C4" s="61"/>
      <c r="D4" s="61"/>
      <c r="E4" s="61"/>
      <c r="F4" s="61"/>
      <c r="G4" s="61"/>
      <c r="H4" s="61"/>
      <c r="I4" s="61"/>
      <c r="J4" s="61"/>
      <c r="K4" s="61"/>
      <c r="L4" s="61"/>
      <c r="M4" s="61"/>
    </row>
    <row r="5" spans="1:13" ht="6" customHeight="1" x14ac:dyDescent="0.35"/>
    <row r="6" spans="1:13" ht="21.75" customHeight="1" x14ac:dyDescent="0.35">
      <c r="B6" s="62" t="s">
        <v>32</v>
      </c>
      <c r="C6" s="62"/>
      <c r="E6" s="62" t="s">
        <v>33</v>
      </c>
      <c r="F6" s="62"/>
      <c r="H6" s="62" t="s">
        <v>34</v>
      </c>
      <c r="I6" s="62"/>
      <c r="K6" s="62" t="s">
        <v>35</v>
      </c>
      <c r="L6" s="62"/>
    </row>
    <row r="7" spans="1:13" ht="21.75" customHeight="1" x14ac:dyDescent="0.35">
      <c r="B7" s="21" t="s">
        <v>36</v>
      </c>
      <c r="C7" s="22">
        <v>75000</v>
      </c>
      <c r="E7" s="21" t="s">
        <v>37</v>
      </c>
      <c r="F7" s="23">
        <v>0.25</v>
      </c>
      <c r="H7" s="21" t="s">
        <v>38</v>
      </c>
      <c r="I7" s="22">
        <v>1300</v>
      </c>
      <c r="K7" s="21" t="s">
        <v>39</v>
      </c>
      <c r="L7" s="24">
        <v>1</v>
      </c>
    </row>
    <row r="8" spans="1:13" ht="21.75" customHeight="1" x14ac:dyDescent="0.35">
      <c r="B8" s="21" t="s">
        <v>40</v>
      </c>
      <c r="C8" s="22">
        <v>10000</v>
      </c>
      <c r="E8" s="21" t="s">
        <v>41</v>
      </c>
      <c r="F8" s="25">
        <v>5.6800000000000003E-2</v>
      </c>
      <c r="H8" s="21" t="s">
        <v>42</v>
      </c>
      <c r="I8" s="23">
        <v>0.05</v>
      </c>
      <c r="K8" s="21" t="s">
        <v>43</v>
      </c>
      <c r="L8" s="26">
        <v>1800</v>
      </c>
    </row>
    <row r="9" spans="1:13" ht="21.75" customHeight="1" x14ac:dyDescent="0.35">
      <c r="B9" s="21" t="s">
        <v>44</v>
      </c>
      <c r="C9" s="22">
        <v>8000</v>
      </c>
      <c r="E9" s="21" t="s">
        <v>45</v>
      </c>
      <c r="F9" s="27">
        <v>30</v>
      </c>
      <c r="H9" s="21" t="s">
        <v>46</v>
      </c>
      <c r="I9" s="23">
        <v>0.02</v>
      </c>
      <c r="K9" s="21" t="s">
        <v>47</v>
      </c>
      <c r="L9" s="27">
        <v>2</v>
      </c>
    </row>
    <row r="10" spans="1:13" ht="21.75" customHeight="1" x14ac:dyDescent="0.35">
      <c r="B10" s="28" t="s">
        <v>48</v>
      </c>
      <c r="C10" s="29">
        <f>C7*0.25</f>
        <v>18750</v>
      </c>
      <c r="E10" s="28" t="s">
        <v>49</v>
      </c>
      <c r="F10" s="29">
        <f>C7*(1-F7)</f>
        <v>56250</v>
      </c>
      <c r="H10" s="21" t="s">
        <v>50</v>
      </c>
      <c r="I10" s="23">
        <v>0.02</v>
      </c>
      <c r="K10" s="21" t="s">
        <v>51</v>
      </c>
      <c r="L10" s="23">
        <v>0.08</v>
      </c>
    </row>
    <row r="11" spans="1:13" ht="21.75" customHeight="1" x14ac:dyDescent="0.35">
      <c r="B11" s="28" t="s">
        <v>52</v>
      </c>
      <c r="C11" s="29">
        <f>C7*0.75</f>
        <v>56250</v>
      </c>
      <c r="E11" s="28" t="s">
        <v>53</v>
      </c>
      <c r="F11" s="29">
        <f>C7*F7</f>
        <v>18750</v>
      </c>
      <c r="H11" s="21" t="s">
        <v>54</v>
      </c>
      <c r="I11" s="22">
        <v>2500</v>
      </c>
      <c r="K11" s="21" t="s">
        <v>55</v>
      </c>
      <c r="L11" s="22">
        <v>700</v>
      </c>
    </row>
    <row r="12" spans="1:13" ht="21.75" customHeight="1" x14ac:dyDescent="0.35">
      <c r="B12" s="28" t="s">
        <v>56</v>
      </c>
      <c r="C12" s="29">
        <f>C7+C8+C9</f>
        <v>93000</v>
      </c>
      <c r="E12" s="28" t="s">
        <v>57</v>
      </c>
      <c r="F12" s="30">
        <f>IFERROR(ABS(PMT(F8/12,F9*12,F10)),0)</f>
        <v>325.76266987830928</v>
      </c>
      <c r="H12" s="21" t="s">
        <v>58</v>
      </c>
      <c r="I12" s="22">
        <v>500</v>
      </c>
      <c r="K12" s="21" t="s">
        <v>59</v>
      </c>
      <c r="L12" s="22">
        <v>0</v>
      </c>
    </row>
    <row r="13" spans="1:13" ht="21.75" customHeight="1" x14ac:dyDescent="0.35">
      <c r="E13" s="28" t="s">
        <v>60</v>
      </c>
      <c r="F13" s="29">
        <f>F11+C8+C9</f>
        <v>36750</v>
      </c>
      <c r="H13" s="21" t="s">
        <v>61</v>
      </c>
      <c r="I13" s="22">
        <v>650</v>
      </c>
      <c r="K13" s="21" t="s">
        <v>62</v>
      </c>
      <c r="L13" s="22">
        <v>0</v>
      </c>
    </row>
    <row r="14" spans="1:13" ht="6" customHeight="1" x14ac:dyDescent="0.35"/>
    <row r="15" spans="1:13" ht="19.5" customHeight="1" x14ac:dyDescent="0.35">
      <c r="B15" s="63" t="s">
        <v>63</v>
      </c>
      <c r="C15" s="63"/>
      <c r="E15" s="64" t="s">
        <v>64</v>
      </c>
      <c r="F15" s="64"/>
      <c r="H15" s="65" t="s">
        <v>65</v>
      </c>
      <c r="I15" s="65"/>
      <c r="K15" s="66" t="s">
        <v>66</v>
      </c>
      <c r="L15" s="66"/>
    </row>
    <row r="16" spans="1:13" ht="7.5" customHeight="1" x14ac:dyDescent="0.35"/>
    <row r="17" spans="2:13" ht="24" customHeight="1" x14ac:dyDescent="0.35">
      <c r="B17" s="10" t="s">
        <v>67</v>
      </c>
      <c r="C17" s="10"/>
      <c r="D17" s="10"/>
      <c r="E17" s="10"/>
      <c r="F17" s="10"/>
      <c r="G17" s="10"/>
      <c r="H17" s="10"/>
      <c r="I17" s="10"/>
      <c r="J17" s="10"/>
      <c r="K17" s="10"/>
      <c r="L17" s="10"/>
    </row>
    <row r="18" spans="2:13" ht="21.75" customHeight="1" x14ac:dyDescent="0.35">
      <c r="B18" s="48" t="s">
        <v>14</v>
      </c>
      <c r="C18" s="48"/>
      <c r="D18" s="15"/>
      <c r="E18" s="48" t="s">
        <v>68</v>
      </c>
      <c r="F18" s="48"/>
      <c r="G18" s="15"/>
      <c r="H18" s="48" t="s">
        <v>16</v>
      </c>
      <c r="I18" s="48"/>
      <c r="J18" s="15"/>
      <c r="K18" s="67" t="s">
        <v>69</v>
      </c>
      <c r="L18" s="67"/>
      <c r="M18" s="15"/>
    </row>
    <row r="19" spans="2:13" ht="19.5" customHeight="1" x14ac:dyDescent="0.35">
      <c r="B19" s="51" t="s">
        <v>17</v>
      </c>
      <c r="C19" s="51"/>
      <c r="D19" s="18"/>
      <c r="E19" s="68">
        <f>I7*12*L7</f>
        <v>15600</v>
      </c>
      <c r="F19" s="68"/>
      <c r="G19" s="18"/>
      <c r="H19" s="68">
        <f>I7*12*L7</f>
        <v>15600</v>
      </c>
      <c r="I19" s="68"/>
      <c r="J19" s="18"/>
      <c r="K19" s="69" t="s">
        <v>70</v>
      </c>
      <c r="L19" s="69"/>
      <c r="M19" s="18"/>
    </row>
    <row r="20" spans="2:13" ht="19.5" customHeight="1" x14ac:dyDescent="0.35">
      <c r="B20" s="49" t="s">
        <v>71</v>
      </c>
      <c r="C20" s="49"/>
      <c r="D20" s="16"/>
      <c r="E20" s="70">
        <f>-I7*12*L7*I8</f>
        <v>-780</v>
      </c>
      <c r="F20" s="70"/>
      <c r="G20" s="16"/>
      <c r="H20" s="70">
        <f>-I7*12*L7*I8</f>
        <v>-780</v>
      </c>
      <c r="I20" s="70"/>
      <c r="J20" s="16"/>
      <c r="K20" s="71" t="s">
        <v>72</v>
      </c>
      <c r="L20" s="71"/>
      <c r="M20" s="16"/>
    </row>
    <row r="21" spans="2:13" ht="19.5" customHeight="1" x14ac:dyDescent="0.35">
      <c r="B21" s="51" t="s">
        <v>73</v>
      </c>
      <c r="C21" s="51"/>
      <c r="D21" s="18"/>
      <c r="E21" s="53">
        <f>E19+E20</f>
        <v>14820</v>
      </c>
      <c r="F21" s="53"/>
      <c r="G21" s="18"/>
      <c r="H21" s="53">
        <f>H19+H20</f>
        <v>14820</v>
      </c>
      <c r="I21" s="53"/>
      <c r="J21" s="18"/>
      <c r="K21" s="69" t="s">
        <v>74</v>
      </c>
      <c r="L21" s="69"/>
      <c r="M21" s="18"/>
    </row>
    <row r="22" spans="2:13" ht="21.75" customHeight="1" x14ac:dyDescent="0.35">
      <c r="B22" s="72" t="s">
        <v>75</v>
      </c>
      <c r="C22" s="72"/>
      <c r="D22" s="72"/>
      <c r="E22" s="72"/>
      <c r="F22" s="72"/>
      <c r="G22" s="72"/>
      <c r="H22" s="72"/>
      <c r="I22" s="72"/>
      <c r="J22" s="72"/>
      <c r="K22" s="72"/>
      <c r="L22" s="72"/>
      <c r="M22" s="19"/>
    </row>
    <row r="23" spans="2:13" ht="19.5" customHeight="1" x14ac:dyDescent="0.35">
      <c r="B23" s="51" t="s">
        <v>76</v>
      </c>
      <c r="C23" s="51"/>
      <c r="D23" s="18"/>
      <c r="E23" s="52">
        <f>-I11</f>
        <v>-2500</v>
      </c>
      <c r="F23" s="52"/>
      <c r="G23" s="18"/>
      <c r="H23" s="52">
        <f>-I11</f>
        <v>-2500</v>
      </c>
      <c r="I23" s="52"/>
      <c r="J23" s="18"/>
      <c r="K23" s="69" t="s">
        <v>77</v>
      </c>
      <c r="L23" s="69"/>
      <c r="M23" s="18"/>
    </row>
    <row r="24" spans="2:13" ht="19.5" customHeight="1" x14ac:dyDescent="0.35">
      <c r="B24" s="49" t="s">
        <v>78</v>
      </c>
      <c r="C24" s="49"/>
      <c r="D24" s="16"/>
      <c r="E24" s="70">
        <f>-L11</f>
        <v>-700</v>
      </c>
      <c r="F24" s="70"/>
      <c r="G24" s="16"/>
      <c r="H24" s="70">
        <f>-L11</f>
        <v>-700</v>
      </c>
      <c r="I24" s="70"/>
      <c r="J24" s="16"/>
      <c r="K24" s="71" t="s">
        <v>77</v>
      </c>
      <c r="L24" s="71"/>
      <c r="M24" s="16"/>
    </row>
    <row r="25" spans="2:13" ht="19.5" customHeight="1" x14ac:dyDescent="0.35">
      <c r="B25" s="51" t="s">
        <v>79</v>
      </c>
      <c r="C25" s="51"/>
      <c r="D25" s="18"/>
      <c r="E25" s="52">
        <f>-I12</f>
        <v>-500</v>
      </c>
      <c r="F25" s="52"/>
      <c r="G25" s="18"/>
      <c r="H25" s="52">
        <f>-I12</f>
        <v>-500</v>
      </c>
      <c r="I25" s="52"/>
      <c r="J25" s="18"/>
      <c r="K25" s="69" t="s">
        <v>77</v>
      </c>
      <c r="L25" s="69"/>
      <c r="M25" s="18"/>
    </row>
    <row r="26" spans="2:13" ht="19.5" customHeight="1" x14ac:dyDescent="0.35">
      <c r="B26" s="49" t="s">
        <v>80</v>
      </c>
      <c r="C26" s="49"/>
      <c r="D26" s="16"/>
      <c r="E26" s="70">
        <f>-E21*L10</f>
        <v>-1185.6000000000001</v>
      </c>
      <c r="F26" s="70"/>
      <c r="G26" s="16"/>
      <c r="H26" s="70">
        <f>0</f>
        <v>0</v>
      </c>
      <c r="I26" s="70"/>
      <c r="J26" s="16"/>
      <c r="K26" s="71" t="s">
        <v>81</v>
      </c>
      <c r="L26" s="71"/>
      <c r="M26" s="16"/>
    </row>
    <row r="27" spans="2:13" ht="19.5" customHeight="1" x14ac:dyDescent="0.35">
      <c r="B27" s="51" t="s">
        <v>82</v>
      </c>
      <c r="C27" s="51"/>
      <c r="D27" s="18"/>
      <c r="E27" s="52">
        <f>IF(L12&gt;0,-L12*12,0)</f>
        <v>0</v>
      </c>
      <c r="F27" s="52"/>
      <c r="G27" s="18"/>
      <c r="H27" s="52">
        <f>IF(L12&gt;0,-L12*12,0)</f>
        <v>0</v>
      </c>
      <c r="I27" s="52"/>
      <c r="J27" s="18"/>
      <c r="K27" s="69" t="s">
        <v>83</v>
      </c>
      <c r="L27" s="69"/>
      <c r="M27" s="18"/>
    </row>
    <row r="28" spans="2:13" ht="19.5" customHeight="1" x14ac:dyDescent="0.35">
      <c r="B28" s="49" t="s">
        <v>84</v>
      </c>
      <c r="C28" s="49"/>
      <c r="D28" s="16"/>
      <c r="E28" s="70">
        <f>-I13</f>
        <v>-650</v>
      </c>
      <c r="F28" s="70"/>
      <c r="G28" s="16"/>
      <c r="H28" s="70">
        <f>-I13</f>
        <v>-650</v>
      </c>
      <c r="I28" s="70"/>
      <c r="J28" s="16"/>
      <c r="K28" s="71" t="s">
        <v>85</v>
      </c>
      <c r="L28" s="71"/>
      <c r="M28" s="16"/>
    </row>
    <row r="29" spans="2:13" ht="19.5" customHeight="1" x14ac:dyDescent="0.35">
      <c r="B29" s="51" t="s">
        <v>62</v>
      </c>
      <c r="C29" s="51"/>
      <c r="D29" s="18"/>
      <c r="E29" s="52">
        <f>-L13</f>
        <v>0</v>
      </c>
      <c r="F29" s="52"/>
      <c r="G29" s="18"/>
      <c r="H29" s="52">
        <f>-L13</f>
        <v>0</v>
      </c>
      <c r="I29" s="52"/>
      <c r="J29" s="18"/>
      <c r="K29" s="69" t="s">
        <v>77</v>
      </c>
      <c r="L29" s="69"/>
      <c r="M29" s="18"/>
    </row>
    <row r="30" spans="2:13" ht="19.5" customHeight="1" x14ac:dyDescent="0.35">
      <c r="B30" s="49" t="s">
        <v>20</v>
      </c>
      <c r="C30" s="49"/>
      <c r="D30" s="16"/>
      <c r="E30" s="54">
        <f>E23+E24+E25+E26+E27+E28+E29</f>
        <v>-5535.6</v>
      </c>
      <c r="F30" s="54"/>
      <c r="G30" s="16"/>
      <c r="H30" s="54">
        <f>H23+H24+H25+H26+H27+H28+H29</f>
        <v>-4350</v>
      </c>
      <c r="I30" s="54"/>
      <c r="J30" s="16"/>
      <c r="K30" s="71" t="s">
        <v>86</v>
      </c>
      <c r="L30" s="71"/>
      <c r="M30" s="16"/>
    </row>
    <row r="31" spans="2:13" ht="21.75" customHeight="1" x14ac:dyDescent="0.35">
      <c r="B31" s="72" t="s">
        <v>87</v>
      </c>
      <c r="C31" s="72"/>
      <c r="D31" s="72"/>
      <c r="E31" s="72"/>
      <c r="F31" s="72"/>
      <c r="G31" s="72"/>
      <c r="H31" s="72"/>
      <c r="I31" s="72"/>
      <c r="J31" s="72"/>
      <c r="K31" s="72"/>
      <c r="L31" s="72"/>
      <c r="M31" s="19"/>
    </row>
    <row r="32" spans="2:13" ht="19.5" customHeight="1" x14ac:dyDescent="0.35">
      <c r="B32" s="49" t="s">
        <v>21</v>
      </c>
      <c r="C32" s="49"/>
      <c r="D32" s="16"/>
      <c r="E32" s="53">
        <f>E21+E30</f>
        <v>9284.4</v>
      </c>
      <c r="F32" s="53"/>
      <c r="G32" s="16"/>
      <c r="H32" s="53">
        <f>H21+H30</f>
        <v>10470</v>
      </c>
      <c r="I32" s="53"/>
      <c r="J32" s="16"/>
      <c r="K32" s="71" t="s">
        <v>88</v>
      </c>
      <c r="L32" s="71"/>
      <c r="M32" s="16"/>
    </row>
    <row r="33" spans="2:13" ht="19.5" customHeight="1" x14ac:dyDescent="0.35">
      <c r="B33" s="51" t="s">
        <v>89</v>
      </c>
      <c r="C33" s="51"/>
      <c r="D33" s="18"/>
      <c r="E33" s="52">
        <f>-F12*12</f>
        <v>-3909.1520385397116</v>
      </c>
      <c r="F33" s="52"/>
      <c r="G33" s="18"/>
      <c r="H33" s="52">
        <f>-F12*12</f>
        <v>-3909.1520385397116</v>
      </c>
      <c r="I33" s="52"/>
      <c r="J33" s="18"/>
      <c r="K33" s="69" t="s">
        <v>90</v>
      </c>
      <c r="L33" s="69"/>
      <c r="M33" s="18"/>
    </row>
    <row r="34" spans="2:13" ht="19.5" customHeight="1" x14ac:dyDescent="0.35">
      <c r="B34" s="49" t="s">
        <v>23</v>
      </c>
      <c r="C34" s="49"/>
      <c r="D34" s="16"/>
      <c r="E34" s="53">
        <f>E32+E33</f>
        <v>5375.247961460288</v>
      </c>
      <c r="F34" s="53"/>
      <c r="G34" s="16"/>
      <c r="H34" s="53">
        <f>H32+H33</f>
        <v>6560.8479614602884</v>
      </c>
      <c r="I34" s="53"/>
      <c r="J34" s="16"/>
      <c r="K34" s="71" t="s">
        <v>91</v>
      </c>
      <c r="L34" s="71"/>
      <c r="M34" s="16"/>
    </row>
    <row r="35" spans="2:13" ht="19.5" customHeight="1" x14ac:dyDescent="0.35">
      <c r="B35" s="51" t="s">
        <v>24</v>
      </c>
      <c r="C35" s="51"/>
      <c r="D35" s="18"/>
      <c r="E35" s="55">
        <f>E34/12</f>
        <v>447.93733012169065</v>
      </c>
      <c r="F35" s="55"/>
      <c r="G35" s="18"/>
      <c r="H35" s="55">
        <f>H34/12</f>
        <v>546.73733012169066</v>
      </c>
      <c r="I35" s="55"/>
      <c r="J35" s="18"/>
      <c r="K35" s="69" t="s">
        <v>92</v>
      </c>
      <c r="L35" s="69"/>
      <c r="M35" s="18"/>
    </row>
    <row r="36" spans="2:13" ht="21.75" customHeight="1" x14ac:dyDescent="0.35">
      <c r="B36" s="72" t="s">
        <v>93</v>
      </c>
      <c r="C36" s="72"/>
      <c r="D36" s="72"/>
      <c r="E36" s="72"/>
      <c r="F36" s="72"/>
      <c r="G36" s="72"/>
      <c r="H36" s="72"/>
      <c r="I36" s="72"/>
      <c r="J36" s="72"/>
      <c r="K36" s="72"/>
      <c r="L36" s="72"/>
      <c r="M36" s="19"/>
    </row>
    <row r="37" spans="2:13" ht="19.5" customHeight="1" x14ac:dyDescent="0.35">
      <c r="B37" s="51" t="s">
        <v>25</v>
      </c>
      <c r="C37" s="51"/>
      <c r="D37" s="18"/>
      <c r="E37" s="56">
        <f>IFERROR(E34/F13,0)</f>
        <v>0.14626525065198062</v>
      </c>
      <c r="F37" s="56"/>
      <c r="G37" s="18"/>
      <c r="H37" s="56">
        <f>IFERROR(H34/F13,0)</f>
        <v>0.17852647514177655</v>
      </c>
      <c r="I37" s="56"/>
      <c r="J37" s="18"/>
      <c r="K37" s="69" t="s">
        <v>94</v>
      </c>
      <c r="L37" s="69"/>
      <c r="M37" s="18"/>
    </row>
    <row r="38" spans="2:13" ht="19.5" customHeight="1" x14ac:dyDescent="0.35">
      <c r="B38" s="49" t="s">
        <v>26</v>
      </c>
      <c r="C38" s="49"/>
      <c r="D38" s="16"/>
      <c r="E38" s="56">
        <f>IFERROR((E34-CUMPRINC(F8/12,F9*12,F10,1,12,0))/F13,0)</f>
        <v>0.16621192496661044</v>
      </c>
      <c r="F38" s="56"/>
      <c r="G38" s="16"/>
      <c r="H38" s="56">
        <f>IFERROR((H34-CUMPRINC(F8/12,F9*12,F10,1,12,0))/F13,0)</f>
        <v>0.19847314945640637</v>
      </c>
      <c r="I38" s="56"/>
      <c r="J38" s="16"/>
      <c r="K38" s="71" t="s">
        <v>95</v>
      </c>
      <c r="L38" s="71"/>
      <c r="M38" s="16"/>
    </row>
    <row r="39" spans="2:13" ht="19.5" customHeight="1" x14ac:dyDescent="0.35">
      <c r="B39" s="51" t="s">
        <v>96</v>
      </c>
      <c r="C39" s="51"/>
      <c r="D39" s="18"/>
      <c r="E39" s="73">
        <f>IFERROR(E32/C12,0)</f>
        <v>9.9832258064516122E-2</v>
      </c>
      <c r="F39" s="73"/>
      <c r="G39" s="18"/>
      <c r="H39" s="73">
        <f>IFERROR(H32/C12,0)</f>
        <v>0.11258064516129032</v>
      </c>
      <c r="I39" s="73"/>
      <c r="J39" s="18"/>
      <c r="K39" s="69" t="s">
        <v>97</v>
      </c>
      <c r="L39" s="69"/>
      <c r="M39" s="18"/>
    </row>
    <row r="40" spans="2:13" ht="19.5" customHeight="1" x14ac:dyDescent="0.35">
      <c r="B40" s="49" t="s">
        <v>28</v>
      </c>
      <c r="C40" s="49"/>
      <c r="D40" s="16"/>
      <c r="E40" s="74">
        <f>IFERROR(C7/E19,0)</f>
        <v>4.8076923076923075</v>
      </c>
      <c r="F40" s="74"/>
      <c r="G40" s="16"/>
      <c r="H40" s="74">
        <f>IFERROR(C7/H19,0)</f>
        <v>4.8076923076923075</v>
      </c>
      <c r="I40" s="74"/>
      <c r="J40" s="16"/>
      <c r="K40" s="71" t="s">
        <v>98</v>
      </c>
      <c r="L40" s="71"/>
      <c r="M40" s="16"/>
    </row>
    <row r="41" spans="2:13" ht="19.5" customHeight="1" x14ac:dyDescent="0.35">
      <c r="B41" s="51" t="s">
        <v>99</v>
      </c>
      <c r="C41" s="51"/>
      <c r="D41" s="18"/>
      <c r="E41" s="75">
        <f>IFERROR(I7*12/L8,0)</f>
        <v>8.6666666666666661</v>
      </c>
      <c r="F41" s="75"/>
      <c r="G41" s="18"/>
      <c r="H41" s="75">
        <f>IFERROR(I7*12/L8,0)</f>
        <v>8.6666666666666661</v>
      </c>
      <c r="I41" s="75"/>
      <c r="J41" s="18"/>
      <c r="K41" s="69" t="s">
        <v>100</v>
      </c>
      <c r="L41" s="69"/>
      <c r="M41" s="18"/>
    </row>
    <row r="42" spans="2:13" ht="9.75" customHeight="1" x14ac:dyDescent="0.35"/>
    <row r="43" spans="2:13" ht="24" customHeight="1" x14ac:dyDescent="0.35">
      <c r="B43" s="10" t="s">
        <v>101</v>
      </c>
      <c r="C43" s="10"/>
      <c r="D43" s="10"/>
      <c r="E43" s="10"/>
      <c r="F43" s="10"/>
      <c r="G43" s="10"/>
      <c r="H43" s="10"/>
      <c r="I43" s="10"/>
      <c r="J43" s="10"/>
      <c r="K43" s="10"/>
      <c r="L43" s="10"/>
    </row>
    <row r="44" spans="2:13" ht="31.5" customHeight="1" x14ac:dyDescent="0.35">
      <c r="B44" s="31" t="s">
        <v>102</v>
      </c>
      <c r="C44" s="31" t="s">
        <v>103</v>
      </c>
      <c r="D44" s="31" t="s">
        <v>104</v>
      </c>
      <c r="E44" s="31" t="s">
        <v>105</v>
      </c>
      <c r="F44" s="31" t="s">
        <v>106</v>
      </c>
      <c r="G44" s="31" t="s">
        <v>107</v>
      </c>
      <c r="H44" s="31" t="s">
        <v>108</v>
      </c>
      <c r="I44" s="31" t="s">
        <v>109</v>
      </c>
      <c r="J44" s="31" t="s">
        <v>110</v>
      </c>
      <c r="K44" s="31" t="s">
        <v>111</v>
      </c>
      <c r="L44" s="31" t="s">
        <v>112</v>
      </c>
    </row>
    <row r="45" spans="2:13" ht="16.5" customHeight="1" x14ac:dyDescent="0.35">
      <c r="B45" s="32">
        <v>1</v>
      </c>
      <c r="C45" s="33">
        <f>$I$7*12*$L$7</f>
        <v>15600</v>
      </c>
      <c r="D45" s="33">
        <f t="shared" ref="D45:D74" si="0">C45*(1-$I$8)</f>
        <v>14820</v>
      </c>
      <c r="E45" s="34">
        <f>($I$11+$L$11+$I$12+IF($L$12&gt;0,$L$12*12,0)+$I$13+$L$13)+D45*$L$10</f>
        <v>5535.6</v>
      </c>
      <c r="F45" s="33">
        <f t="shared" ref="F45:F74" si="1">D45-E45</f>
        <v>9284.4</v>
      </c>
      <c r="G45" s="34">
        <f t="shared" ref="G45:G74" si="2">$F$12*12</f>
        <v>3909.1520385397116</v>
      </c>
      <c r="H45" s="35">
        <f t="shared" ref="H45:H74" si="3">F45-G45</f>
        <v>5375.247961460288</v>
      </c>
      <c r="I45" s="36">
        <f t="shared" ref="I45:I74" si="4">IFERROR(H45/$F$13,0)</f>
        <v>0.14626525065198062</v>
      </c>
      <c r="J45" s="33">
        <f>IFERROR(-CUMPRINC($F$8/12,$F$9*12,$F$10,(1-1)*12+1,1*12,0),0)</f>
        <v>733.04028106264593</v>
      </c>
      <c r="K45" s="33">
        <f>J45</f>
        <v>733.04028106264593</v>
      </c>
      <c r="L45" s="36">
        <f t="shared" ref="L45:L74" si="5">IFERROR((H45+J45)/$F$13,0)</f>
        <v>0.16621192496661044</v>
      </c>
    </row>
    <row r="46" spans="2:13" ht="16.5" customHeight="1" x14ac:dyDescent="0.35">
      <c r="B46" s="32">
        <v>2</v>
      </c>
      <c r="C46" s="37">
        <f t="shared" ref="C46:C74" si="6">C45*(1+$I$9)</f>
        <v>15912</v>
      </c>
      <c r="D46" s="37">
        <f t="shared" si="0"/>
        <v>15116.4</v>
      </c>
      <c r="E46" s="38">
        <f>($I$11*(1+$I$10)^(2-1)+$L$11*(1+$I$10)^(2-1)+$I$12*(1+$I$10)^(2-1)+IF($L$12&gt;0,$L$12*12*(1+$I$10)^(2-1),0)+$L$13*(1+$I$10)^(2-1))+D46*$L$10</f>
        <v>4983.3119999999999</v>
      </c>
      <c r="F46" s="37">
        <f t="shared" si="1"/>
        <v>10133.088</v>
      </c>
      <c r="G46" s="38">
        <f t="shared" si="2"/>
        <v>3909.1520385397116</v>
      </c>
      <c r="H46" s="35">
        <f t="shared" si="3"/>
        <v>6223.9359614602881</v>
      </c>
      <c r="I46" s="39">
        <f t="shared" si="4"/>
        <v>0.16935880167238879</v>
      </c>
      <c r="J46" s="37">
        <f>IFERROR(-CUMPRINC($F$8/12,$F$9*12,$F$10,(2-1)*12+1,2*12,0),0)</f>
        <v>775.77819652154528</v>
      </c>
      <c r="K46" s="37">
        <f t="shared" ref="K46:K74" si="7">K45+J46</f>
        <v>1508.8184775841912</v>
      </c>
      <c r="L46" s="39">
        <f t="shared" si="5"/>
        <v>0.1904684124620907</v>
      </c>
    </row>
    <row r="47" spans="2:13" ht="16.5" customHeight="1" x14ac:dyDescent="0.35">
      <c r="B47" s="32">
        <v>3</v>
      </c>
      <c r="C47" s="33">
        <f t="shared" si="6"/>
        <v>16230.24</v>
      </c>
      <c r="D47" s="33">
        <f t="shared" si="0"/>
        <v>15418.727999999999</v>
      </c>
      <c r="E47" s="34">
        <f>($I$11*(1+$I$10)^(3-1)+$L$11*(1+$I$10)^(3-1)+$I$12*(1+$I$10)^(3-1)+IF($L$12&gt;0,$L$12*12*(1+$I$10)^(3-1),0)+$L$13*(1+$I$10)^(3-1))+D47*$L$10</f>
        <v>5082.9782399999995</v>
      </c>
      <c r="F47" s="33">
        <f t="shared" si="1"/>
        <v>10335.749759999999</v>
      </c>
      <c r="G47" s="34">
        <f t="shared" si="2"/>
        <v>3909.1520385397116</v>
      </c>
      <c r="H47" s="35">
        <f t="shared" si="3"/>
        <v>6426.5977214602872</v>
      </c>
      <c r="I47" s="36">
        <f t="shared" si="4"/>
        <v>0.17487340738667448</v>
      </c>
      <c r="J47" s="33">
        <f>IFERROR(-CUMPRINC($F$8/12,$F$9*12,$F$10,(3-1)*12+1,3*12,0),0)</f>
        <v>821.00782964584266</v>
      </c>
      <c r="K47" s="33">
        <f t="shared" si="7"/>
        <v>2329.8263072300338</v>
      </c>
      <c r="L47" s="36">
        <f t="shared" si="5"/>
        <v>0.1972137564926838</v>
      </c>
    </row>
    <row r="48" spans="2:13" ht="16.5" customHeight="1" x14ac:dyDescent="0.35">
      <c r="B48" s="32">
        <v>4</v>
      </c>
      <c r="C48" s="37">
        <f t="shared" si="6"/>
        <v>16554.844799999999</v>
      </c>
      <c r="D48" s="37">
        <f t="shared" si="0"/>
        <v>15727.102559999998</v>
      </c>
      <c r="E48" s="38">
        <f>($I$11*(1+$I$10)^(4-1)+$L$11*(1+$I$10)^(4-1)+$I$12*(1+$I$10)^(4-1)+IF($L$12&gt;0,$L$12*12*(1+$I$10)^(4-1),0)+$L$13*(1+$I$10)^(4-1))+D48*$L$10</f>
        <v>5184.6378047999997</v>
      </c>
      <c r="F48" s="37">
        <f t="shared" si="1"/>
        <v>10542.464755199999</v>
      </c>
      <c r="G48" s="38">
        <f t="shared" si="2"/>
        <v>3909.1520385397116</v>
      </c>
      <c r="H48" s="35">
        <f t="shared" si="3"/>
        <v>6633.3127166602872</v>
      </c>
      <c r="I48" s="39">
        <f t="shared" si="4"/>
        <v>0.1804983052152459</v>
      </c>
      <c r="J48" s="37">
        <f>IFERROR(-CUMPRINC($F$8/12,$F$9*12,$F$10,(4-1)*12+1,4*12,0),0)</f>
        <v>868.87445324207022</v>
      </c>
      <c r="K48" s="37">
        <f t="shared" si="7"/>
        <v>3198.7007604721039</v>
      </c>
      <c r="L48" s="39">
        <f t="shared" si="5"/>
        <v>0.20414114748033627</v>
      </c>
    </row>
    <row r="49" spans="2:12" ht="16.5" customHeight="1" x14ac:dyDescent="0.35">
      <c r="B49" s="32">
        <v>5</v>
      </c>
      <c r="C49" s="33">
        <f t="shared" si="6"/>
        <v>16885.941695999998</v>
      </c>
      <c r="D49" s="33">
        <f t="shared" si="0"/>
        <v>16041.644611199998</v>
      </c>
      <c r="E49" s="34">
        <f>($I$11*(1+$I$10)^(5-1)+$L$11*(1+$I$10)^(5-1)+$I$12*(1+$I$10)^(5-1)+IF($L$12&gt;0,$L$12*12*(1+$I$10)^(5-1),0)+$L$13*(1+$I$10)^(5-1))+D49*$L$10</f>
        <v>5288.330560896</v>
      </c>
      <c r="F49" s="33">
        <f t="shared" si="1"/>
        <v>10753.314050303998</v>
      </c>
      <c r="G49" s="34">
        <f t="shared" si="2"/>
        <v>3909.1520385397116</v>
      </c>
      <c r="H49" s="35">
        <f t="shared" si="3"/>
        <v>6844.162011764286</v>
      </c>
      <c r="I49" s="36">
        <f t="shared" si="4"/>
        <v>0.18623570100038875</v>
      </c>
      <c r="J49" s="33">
        <f>IFERROR(-CUMPRINC($F$8/12,$F$9*12,$F$10,(5-1)*12+1,5*12,0),0)</f>
        <v>919.53180985175936</v>
      </c>
      <c r="K49" s="33">
        <f t="shared" si="7"/>
        <v>4118.232570323863</v>
      </c>
      <c r="L49" s="36">
        <f t="shared" si="5"/>
        <v>0.21125697473785157</v>
      </c>
    </row>
    <row r="50" spans="2:12" ht="16.5" customHeight="1" x14ac:dyDescent="0.35">
      <c r="B50" s="32">
        <v>6</v>
      </c>
      <c r="C50" s="37">
        <f t="shared" si="6"/>
        <v>17223.660529919998</v>
      </c>
      <c r="D50" s="37">
        <f t="shared" si="0"/>
        <v>16362.477503423997</v>
      </c>
      <c r="E50" s="38">
        <f>($I$11*(1+$I$10)^(6-1)+$L$11*(1+$I$10)^(6-1)+$I$12*(1+$I$10)^(6-1)+IF($L$12&gt;0,$L$12*12*(1+$I$10)^(6-1),0)+$L$13*(1+$I$10)^(6-1))+D50*$L$10</f>
        <v>5394.0971721139204</v>
      </c>
      <c r="F50" s="37">
        <f t="shared" si="1"/>
        <v>10968.380331310076</v>
      </c>
      <c r="G50" s="38">
        <f t="shared" si="2"/>
        <v>3909.1520385397116</v>
      </c>
      <c r="H50" s="35">
        <f t="shared" si="3"/>
        <v>7059.2282927703645</v>
      </c>
      <c r="I50" s="39">
        <f t="shared" si="4"/>
        <v>0.19208784470123441</v>
      </c>
      <c r="J50" s="37">
        <f>IFERROR(-CUMPRINC($F$8/12,$F$9*12,$F$10,(6-1)*12+1,6*12,0),0)</f>
        <v>973.14260555625162</v>
      </c>
      <c r="K50" s="37">
        <f t="shared" si="7"/>
        <v>5091.3751758801145</v>
      </c>
      <c r="L50" s="39">
        <f t="shared" si="5"/>
        <v>0.21856791560072425</v>
      </c>
    </row>
    <row r="51" spans="2:12" ht="16.5" customHeight="1" x14ac:dyDescent="0.35">
      <c r="B51" s="32">
        <v>7</v>
      </c>
      <c r="C51" s="33">
        <f t="shared" si="6"/>
        <v>17568.133740518399</v>
      </c>
      <c r="D51" s="33">
        <f t="shared" si="0"/>
        <v>16689.727053492479</v>
      </c>
      <c r="E51" s="34">
        <f>($I$11*(1+$I$10)^(7-1)+$L$11*(1+$I$10)^(7-1)+$I$12*(1+$I$10)^(7-1)+IF($L$12&gt;0,$L$12*12*(1+$I$10)^(7-1),0)+$L$13*(1+$I$10)^(7-1))+D51*$L$10</f>
        <v>5501.9791155561988</v>
      </c>
      <c r="F51" s="33">
        <f t="shared" si="1"/>
        <v>11187.747937936281</v>
      </c>
      <c r="G51" s="34">
        <f t="shared" si="2"/>
        <v>3909.1520385397116</v>
      </c>
      <c r="H51" s="35">
        <f t="shared" si="3"/>
        <v>7278.5958993965696</v>
      </c>
      <c r="I51" s="36">
        <f t="shared" si="4"/>
        <v>0.19805703127609714</v>
      </c>
      <c r="J51" s="33">
        <f>IFERROR(-CUMPRINC($F$8/12,$F$9*12,$F$10,(7-1)*12+1,7*12,0),0)</f>
        <v>1029.8790325714567</v>
      </c>
      <c r="K51" s="33">
        <f t="shared" si="7"/>
        <v>6121.2542084515717</v>
      </c>
      <c r="L51" s="36">
        <f t="shared" si="5"/>
        <v>0.22608095052974223</v>
      </c>
    </row>
    <row r="52" spans="2:12" ht="16.5" customHeight="1" x14ac:dyDescent="0.35">
      <c r="B52" s="32">
        <v>8</v>
      </c>
      <c r="C52" s="37">
        <f t="shared" si="6"/>
        <v>17919.496415328766</v>
      </c>
      <c r="D52" s="37">
        <f t="shared" si="0"/>
        <v>17023.521594562328</v>
      </c>
      <c r="E52" s="38">
        <f>($I$11*(1+$I$10)^(8-1)+$L$11*(1+$I$10)^(8-1)+$I$12*(1+$I$10)^(8-1)+IF($L$12&gt;0,$L$12*12*(1+$I$10)^(8-1),0)+$L$13*(1+$I$10)^(8-1))+D52*$L$10</f>
        <v>5612.0186978673219</v>
      </c>
      <c r="F52" s="37">
        <f t="shared" si="1"/>
        <v>11411.502896695005</v>
      </c>
      <c r="G52" s="38">
        <f t="shared" si="2"/>
        <v>3909.1520385397116</v>
      </c>
      <c r="H52" s="35">
        <f t="shared" si="3"/>
        <v>7502.3508581552933</v>
      </c>
      <c r="I52" s="39">
        <f t="shared" si="4"/>
        <v>0.20414560158245695</v>
      </c>
      <c r="J52" s="37">
        <f>IFERROR(-CUMPRINC($F$8/12,$F$9*12,$F$10,(8-1)*12+1,8*12,0),0)</f>
        <v>1089.9233223110687</v>
      </c>
      <c r="K52" s="37">
        <f t="shared" si="7"/>
        <v>7211.1775307626403</v>
      </c>
      <c r="L52" s="39">
        <f t="shared" si="5"/>
        <v>0.23380337906030918</v>
      </c>
    </row>
    <row r="53" spans="2:12" ht="16.5" customHeight="1" x14ac:dyDescent="0.35">
      <c r="B53" s="32">
        <v>9</v>
      </c>
      <c r="C53" s="33">
        <f t="shared" si="6"/>
        <v>18277.886343635342</v>
      </c>
      <c r="D53" s="33">
        <f t="shared" si="0"/>
        <v>17363.992026453576</v>
      </c>
      <c r="E53" s="34">
        <f>($I$11*(1+$I$10)^(9-1)+$L$11*(1+$I$10)^(9-1)+$I$12*(1+$I$10)^(9-1)+IF($L$12&gt;0,$L$12*12*(1+$I$10)^(9-1),0)+$L$13*(1+$I$10)^(9-1))+D53*$L$10</f>
        <v>5724.2590718246684</v>
      </c>
      <c r="F53" s="33">
        <f t="shared" si="1"/>
        <v>11639.732954628907</v>
      </c>
      <c r="G53" s="34">
        <f t="shared" si="2"/>
        <v>3909.1520385397116</v>
      </c>
      <c r="H53" s="35">
        <f t="shared" si="3"/>
        <v>7730.5809160891959</v>
      </c>
      <c r="I53" s="36">
        <f t="shared" si="4"/>
        <v>0.21035594329494411</v>
      </c>
      <c r="J53" s="33">
        <f>IFERROR(-CUMPRINC($F$8/12,$F$9*12,$F$10,(9-1)*12+1,9*12,0),0)</f>
        <v>1153.4683306946292</v>
      </c>
      <c r="K53" s="33">
        <f t="shared" si="7"/>
        <v>8364.6458614572693</v>
      </c>
      <c r="L53" s="36">
        <f t="shared" si="5"/>
        <v>0.24174283664717891</v>
      </c>
    </row>
    <row r="54" spans="2:12" ht="16.5" customHeight="1" x14ac:dyDescent="0.35">
      <c r="B54" s="32">
        <v>10</v>
      </c>
      <c r="C54" s="37">
        <f t="shared" si="6"/>
        <v>18643.444070508049</v>
      </c>
      <c r="D54" s="37">
        <f t="shared" si="0"/>
        <v>17711.271866982646</v>
      </c>
      <c r="E54" s="38">
        <f>($I$11*(1+$I$10)^(10-1)+$L$11*(1+$I$10)^(10-1)+$I$12*(1+$I$10)^(10-1)+IF($L$12&gt;0,$L$12*12*(1+$I$10)^(10-1),0)+$L$13*(1+$I$10)^(10-1))+D54*$L$10</f>
        <v>5838.7442532611612</v>
      </c>
      <c r="F54" s="37">
        <f t="shared" si="1"/>
        <v>11872.527613721486</v>
      </c>
      <c r="G54" s="38">
        <f t="shared" si="2"/>
        <v>3909.1520385397116</v>
      </c>
      <c r="H54" s="35">
        <f t="shared" si="3"/>
        <v>7963.3755751817744</v>
      </c>
      <c r="I54" s="39">
        <f t="shared" si="4"/>
        <v>0.21669049184168093</v>
      </c>
      <c r="J54" s="37">
        <f>IFERROR(-CUMPRINC($F$8/12,$F$9*12,$F$10,(10-1)*12+1,10*12,0),0)</f>
        <v>1220.71815758038</v>
      </c>
      <c r="K54" s="37">
        <f t="shared" si="7"/>
        <v>9585.36401903765</v>
      </c>
      <c r="L54" s="39">
        <f t="shared" si="5"/>
        <v>0.24990731245611303</v>
      </c>
    </row>
    <row r="55" spans="2:12" ht="16.5" customHeight="1" x14ac:dyDescent="0.35">
      <c r="B55" s="32">
        <v>11</v>
      </c>
      <c r="C55" s="33">
        <f t="shared" si="6"/>
        <v>19016.312951918211</v>
      </c>
      <c r="D55" s="33">
        <f t="shared" si="0"/>
        <v>18065.4973043223</v>
      </c>
      <c r="E55" s="34">
        <f>($I$11*(1+$I$10)^(11-1)+$L$11*(1+$I$10)^(11-1)+$I$12*(1+$I$10)^(11-1)+IF($L$12&gt;0,$L$12*12*(1+$I$10)^(11-1),0)+$L$13*(1+$I$10)^(11-1))+D55*$L$10</f>
        <v>5955.5191383263855</v>
      </c>
      <c r="F55" s="33">
        <f t="shared" si="1"/>
        <v>12109.978165995915</v>
      </c>
      <c r="G55" s="34">
        <f t="shared" si="2"/>
        <v>3909.1520385397116</v>
      </c>
      <c r="H55" s="35">
        <f t="shared" si="3"/>
        <v>8200.8261274562028</v>
      </c>
      <c r="I55" s="36">
        <f t="shared" si="4"/>
        <v>0.22315173135935246</v>
      </c>
      <c r="J55" s="33">
        <f>IFERROR(-CUMPRINC($F$8/12,$F$9*12,$F$10,(11-1)*12+1,11*12,0),0)</f>
        <v>1291.88880231246</v>
      </c>
      <c r="K55" s="33">
        <f t="shared" si="7"/>
        <v>10877.25282135011</v>
      </c>
      <c r="L55" s="36">
        <f t="shared" si="5"/>
        <v>0.25830516815697041</v>
      </c>
    </row>
    <row r="56" spans="2:12" ht="16.5" customHeight="1" x14ac:dyDescent="0.35">
      <c r="B56" s="32">
        <v>12</v>
      </c>
      <c r="C56" s="37">
        <f t="shared" si="6"/>
        <v>19396.639210956575</v>
      </c>
      <c r="D56" s="37">
        <f t="shared" si="0"/>
        <v>18426.807250408747</v>
      </c>
      <c r="E56" s="38">
        <f>($I$11*(1+$I$10)^(12-1)+$L$11*(1+$I$10)^(12-1)+$I$12*(1+$I$10)^(12-1)+IF($L$12&gt;0,$L$12*12*(1+$I$10)^(12-1),0)+$L$13*(1+$I$10)^(12-1))+D56*$L$10</f>
        <v>6074.6295210929129</v>
      </c>
      <c r="F56" s="37">
        <f t="shared" si="1"/>
        <v>12352.177729315834</v>
      </c>
      <c r="G56" s="38">
        <f t="shared" si="2"/>
        <v>3909.1520385397116</v>
      </c>
      <c r="H56" s="35">
        <f t="shared" si="3"/>
        <v>8443.0256907761213</v>
      </c>
      <c r="I56" s="39">
        <f t="shared" si="4"/>
        <v>0.22974219566737744</v>
      </c>
      <c r="J56" s="37">
        <f>IFERROR(-CUMPRINC($F$8/12,$F$9*12,$F$10,(12-1)*12+1,12*12,0),0)</f>
        <v>1367.2088574879961</v>
      </c>
      <c r="K56" s="37">
        <f t="shared" si="7"/>
        <v>12244.461678838106</v>
      </c>
      <c r="L56" s="39">
        <f t="shared" si="5"/>
        <v>0.26694515777589434</v>
      </c>
    </row>
    <row r="57" spans="2:12" ht="16.5" customHeight="1" x14ac:dyDescent="0.35">
      <c r="B57" s="32">
        <v>13</v>
      </c>
      <c r="C57" s="33">
        <f t="shared" si="6"/>
        <v>19784.571995175706</v>
      </c>
      <c r="D57" s="33">
        <f t="shared" si="0"/>
        <v>18795.34339541692</v>
      </c>
      <c r="E57" s="34">
        <f>($I$11*(1+$I$10)^(13-1)+$L$11*(1+$I$10)^(13-1)+$I$12*(1+$I$10)^(13-1)+IF($L$12&gt;0,$L$12*12*(1+$I$10)^(13-1),0)+$L$13*(1+$I$10)^(13-1))+D57*$L$10</f>
        <v>6196.1221115147709</v>
      </c>
      <c r="F57" s="33">
        <f t="shared" si="1"/>
        <v>12599.221283902149</v>
      </c>
      <c r="G57" s="34">
        <f t="shared" si="2"/>
        <v>3909.1520385397116</v>
      </c>
      <c r="H57" s="35">
        <f t="shared" si="3"/>
        <v>8690.069245362436</v>
      </c>
      <c r="I57" s="36">
        <f t="shared" si="4"/>
        <v>0.23646446926156289</v>
      </c>
      <c r="J57" s="33">
        <f>IFERROR(-CUMPRINC($F$8/12,$F$9*12,$F$10,(13-1)*12+1,13*12,0),0)</f>
        <v>1446.9202431723886</v>
      </c>
      <c r="K57" s="33">
        <f t="shared" si="7"/>
        <v>13691.381922010494</v>
      </c>
      <c r="L57" s="36">
        <f t="shared" si="5"/>
        <v>0.27583644866761425</v>
      </c>
    </row>
    <row r="58" spans="2:12" ht="16.5" customHeight="1" x14ac:dyDescent="0.35">
      <c r="B58" s="32">
        <v>14</v>
      </c>
      <c r="C58" s="37">
        <f t="shared" si="6"/>
        <v>20180.263435079221</v>
      </c>
      <c r="D58" s="37">
        <f t="shared" si="0"/>
        <v>19171.250263325259</v>
      </c>
      <c r="E58" s="38">
        <f>($I$11*(1+$I$10)^(14-1)+$L$11*(1+$I$10)^(14-1)+$I$12*(1+$I$10)^(14-1)+IF($L$12&gt;0,$L$12*12*(1+$I$10)^(14-1),0)+$L$13*(1+$I$10)^(14-1))+D58*$L$10</f>
        <v>6320.044553745066</v>
      </c>
      <c r="F58" s="37">
        <f t="shared" si="1"/>
        <v>12851.205709580194</v>
      </c>
      <c r="G58" s="38">
        <f t="shared" si="2"/>
        <v>3909.1520385397116</v>
      </c>
      <c r="H58" s="35">
        <f t="shared" si="3"/>
        <v>8942.0536710404813</v>
      </c>
      <c r="I58" s="39">
        <f t="shared" si="4"/>
        <v>0.24332118832763214</v>
      </c>
      <c r="J58" s="37">
        <f>IFERROR(-CUMPRINC($F$8/12,$F$9*12,$F$10,(14-1)*12+1,14*12,0),0)</f>
        <v>1531.2789839210257</v>
      </c>
      <c r="K58" s="37">
        <f t="shared" si="7"/>
        <v>15222.66090593152</v>
      </c>
      <c r="L58" s="39">
        <f t="shared" si="5"/>
        <v>0.28498864367242194</v>
      </c>
    </row>
    <row r="59" spans="2:12" ht="16.5" customHeight="1" x14ac:dyDescent="0.35">
      <c r="B59" s="32">
        <v>15</v>
      </c>
      <c r="C59" s="33">
        <f t="shared" si="6"/>
        <v>20583.868703780805</v>
      </c>
      <c r="D59" s="33">
        <f t="shared" si="0"/>
        <v>19554.675268591764</v>
      </c>
      <c r="E59" s="34">
        <f>($I$11*(1+$I$10)^(15-1)+$L$11*(1+$I$10)^(15-1)+$I$12*(1+$I$10)^(15-1)+IF($L$12&gt;0,$L$12*12*(1+$I$10)^(15-1),0)+$L$13*(1+$I$10)^(15-1))+D59*$L$10</f>
        <v>6446.4454448199685</v>
      </c>
      <c r="F59" s="33">
        <f t="shared" si="1"/>
        <v>13108.229823771795</v>
      </c>
      <c r="G59" s="34">
        <f t="shared" si="2"/>
        <v>3909.1520385397116</v>
      </c>
      <c r="H59" s="35">
        <f t="shared" si="3"/>
        <v>9199.0777852320825</v>
      </c>
      <c r="I59" s="36">
        <f t="shared" si="4"/>
        <v>0.25031504177502267</v>
      </c>
      <c r="J59" s="33">
        <f>IFERROR(-CUMPRINC($F$8/12,$F$9*12,$F$10,(15-1)*12+1,15*12,0),0)</f>
        <v>1620.5560311031209</v>
      </c>
      <c r="K59" s="33">
        <f t="shared" si="7"/>
        <v>16843.216937034642</v>
      </c>
      <c r="L59" s="36">
        <f t="shared" si="5"/>
        <v>0.29441180452612797</v>
      </c>
    </row>
    <row r="60" spans="2:12" ht="16.5" customHeight="1" x14ac:dyDescent="0.35">
      <c r="B60" s="32">
        <v>16</v>
      </c>
      <c r="C60" s="37">
        <f t="shared" si="6"/>
        <v>20995.546077856423</v>
      </c>
      <c r="D60" s="37">
        <f t="shared" si="0"/>
        <v>19945.768773963602</v>
      </c>
      <c r="E60" s="38">
        <f>($I$11*(1+$I$10)^(16-1)+$L$11*(1+$I$10)^(16-1)+$I$12*(1+$I$10)^(16-1)+IF($L$12&gt;0,$L$12*12*(1+$I$10)^(16-1),0)+$L$13*(1+$I$10)^(16-1))+D60*$L$10</f>
        <v>6575.3743537163664</v>
      </c>
      <c r="F60" s="37">
        <f t="shared" si="1"/>
        <v>13370.394420247236</v>
      </c>
      <c r="G60" s="38">
        <f t="shared" si="2"/>
        <v>3909.1520385397116</v>
      </c>
      <c r="H60" s="35">
        <f t="shared" si="3"/>
        <v>9461.2423817075251</v>
      </c>
      <c r="I60" s="39">
        <f t="shared" si="4"/>
        <v>0.25744877229136121</v>
      </c>
      <c r="J60" s="37">
        <f>IFERROR(-CUMPRINC($F$8/12,$F$9*12,$F$10,(16-1)*12+1,16*12,0),0)</f>
        <v>1715.0381331689089</v>
      </c>
      <c r="K60" s="37">
        <f t="shared" si="7"/>
        <v>18558.255070203551</v>
      </c>
      <c r="L60" s="39">
        <f t="shared" si="5"/>
        <v>0.30411647659527713</v>
      </c>
    </row>
    <row r="61" spans="2:12" ht="16.5" customHeight="1" x14ac:dyDescent="0.35">
      <c r="B61" s="32">
        <v>17</v>
      </c>
      <c r="C61" s="33">
        <f t="shared" si="6"/>
        <v>21415.456999413553</v>
      </c>
      <c r="D61" s="33">
        <f t="shared" si="0"/>
        <v>20344.684149442874</v>
      </c>
      <c r="E61" s="34">
        <f>($I$11*(1+$I$10)^(17-1)+$L$11*(1+$I$10)^(17-1)+$I$12*(1+$I$10)^(17-1)+IF($L$12&gt;0,$L$12*12*(1+$I$10)^(17-1),0)+$L$13*(1+$I$10)^(17-1))+D61*$L$10</f>
        <v>6706.8818407906947</v>
      </c>
      <c r="F61" s="33">
        <f t="shared" si="1"/>
        <v>13637.802308652179</v>
      </c>
      <c r="G61" s="34">
        <f t="shared" si="2"/>
        <v>3909.1520385397116</v>
      </c>
      <c r="H61" s="35">
        <f t="shared" si="3"/>
        <v>9728.6502701124664</v>
      </c>
      <c r="I61" s="36">
        <f t="shared" si="4"/>
        <v>0.26472517741802631</v>
      </c>
      <c r="J61" s="33">
        <f>IFERROR(-CUMPRINC($F$8/12,$F$9*12,$F$10,(17-1)*12+1,17*12,0),0)</f>
        <v>1815.028756655393</v>
      </c>
      <c r="K61" s="33">
        <f t="shared" si="7"/>
        <v>20373.283826858944</v>
      </c>
      <c r="L61" s="36">
        <f t="shared" si="5"/>
        <v>0.31411371501409141</v>
      </c>
    </row>
    <row r="62" spans="2:12" ht="16.5" customHeight="1" x14ac:dyDescent="0.35">
      <c r="B62" s="32">
        <v>18</v>
      </c>
      <c r="C62" s="37">
        <f t="shared" si="6"/>
        <v>21843.766139401825</v>
      </c>
      <c r="D62" s="37">
        <f t="shared" si="0"/>
        <v>20751.577832431733</v>
      </c>
      <c r="E62" s="38">
        <f>($I$11*(1+$I$10)^(18-1)+$L$11*(1+$I$10)^(18-1)+$I$12*(1+$I$10)^(18-1)+IF($L$12&gt;0,$L$12*12*(1+$I$10)^(18-1),0)+$L$13*(1+$I$10)^(18-1))+D62*$L$10</f>
        <v>6841.0194776065091</v>
      </c>
      <c r="F62" s="37">
        <f t="shared" si="1"/>
        <v>13910.558354825223</v>
      </c>
      <c r="G62" s="38">
        <f t="shared" si="2"/>
        <v>3909.1520385397116</v>
      </c>
      <c r="H62" s="35">
        <f t="shared" si="3"/>
        <v>10001.406316285513</v>
      </c>
      <c r="I62" s="39">
        <f t="shared" si="4"/>
        <v>0.27214711064722485</v>
      </c>
      <c r="J62" s="37">
        <f>IFERROR(-CUMPRINC($F$8/12,$F$9*12,$F$10,(18-1)*12+1,18*12,0),0)</f>
        <v>1920.8490608888249</v>
      </c>
      <c r="K62" s="37">
        <f t="shared" si="7"/>
        <v>22294.132887747768</v>
      </c>
      <c r="L62" s="39">
        <f t="shared" si="5"/>
        <v>0.32441511230406361</v>
      </c>
    </row>
    <row r="63" spans="2:12" ht="16.5" customHeight="1" x14ac:dyDescent="0.35">
      <c r="B63" s="32">
        <v>19</v>
      </c>
      <c r="C63" s="33">
        <f t="shared" si="6"/>
        <v>22280.641462189862</v>
      </c>
      <c r="D63" s="33">
        <f t="shared" si="0"/>
        <v>21166.609389080368</v>
      </c>
      <c r="E63" s="34">
        <f>($I$11*(1+$I$10)^(19-1)+$L$11*(1+$I$10)^(19-1)+$I$12*(1+$I$10)^(19-1)+IF($L$12&gt;0,$L$12*12*(1+$I$10)^(19-1),0)+$L$13*(1+$I$10)^(19-1))+D63*$L$10</f>
        <v>6977.8398671586392</v>
      </c>
      <c r="F63" s="33">
        <f t="shared" si="1"/>
        <v>14188.769521921728</v>
      </c>
      <c r="G63" s="34">
        <f t="shared" si="2"/>
        <v>3909.1520385397116</v>
      </c>
      <c r="H63" s="35">
        <f t="shared" si="3"/>
        <v>10279.617483382015</v>
      </c>
      <c r="I63" s="36">
        <f t="shared" si="4"/>
        <v>0.2797174825410072</v>
      </c>
      <c r="J63" s="33">
        <f>IFERROR(-CUMPRINC($F$8/12,$F$9*12,$F$10,(19-1)*12+1,19*12,0),0)</f>
        <v>2032.8389295145539</v>
      </c>
      <c r="K63" s="33">
        <f t="shared" si="7"/>
        <v>24326.971817262322</v>
      </c>
      <c r="L63" s="36">
        <f t="shared" si="5"/>
        <v>0.33503282756181141</v>
      </c>
    </row>
    <row r="64" spans="2:12" ht="16.5" customHeight="1" x14ac:dyDescent="0.35">
      <c r="B64" s="32">
        <v>20</v>
      </c>
      <c r="C64" s="37">
        <f t="shared" si="6"/>
        <v>22726.254291433659</v>
      </c>
      <c r="D64" s="37">
        <f t="shared" si="0"/>
        <v>21589.941576861977</v>
      </c>
      <c r="E64" s="38">
        <f>($I$11*(1+$I$10)^(20-1)+$L$11*(1+$I$10)^(20-1)+$I$12*(1+$I$10)^(20-1)+IF($L$12&gt;0,$L$12*12*(1+$I$10)^(20-1),0)+$L$13*(1+$I$10)^(20-1))+D64*$L$10</f>
        <v>7117.3966645018108</v>
      </c>
      <c r="F64" s="37">
        <f t="shared" si="1"/>
        <v>14472.544912360165</v>
      </c>
      <c r="G64" s="38">
        <f t="shared" si="2"/>
        <v>3909.1520385397116</v>
      </c>
      <c r="H64" s="35">
        <f t="shared" si="3"/>
        <v>10563.392873820452</v>
      </c>
      <c r="I64" s="39">
        <f t="shared" si="4"/>
        <v>0.28743926187266539</v>
      </c>
      <c r="J64" s="37">
        <f>IFERROR(-CUMPRINC($F$8/12,$F$9*12,$F$10,(20-1)*12+1,20*12,0),0)</f>
        <v>2151.3580621674128</v>
      </c>
      <c r="K64" s="37">
        <f t="shared" si="7"/>
        <v>26478.329879429733</v>
      </c>
      <c r="L64" s="39">
        <f t="shared" si="5"/>
        <v>0.34597961730579224</v>
      </c>
    </row>
    <row r="65" spans="2:12" ht="16.5" customHeight="1" x14ac:dyDescent="0.35">
      <c r="B65" s="32">
        <v>21</v>
      </c>
      <c r="C65" s="33">
        <f t="shared" si="6"/>
        <v>23180.779377262334</v>
      </c>
      <c r="D65" s="33">
        <f t="shared" si="0"/>
        <v>22021.740408399215</v>
      </c>
      <c r="E65" s="34">
        <f>($I$11*(1+$I$10)^(21-1)+$L$11*(1+$I$10)^(21-1)+$I$12*(1+$I$10)^(21-1)+IF($L$12&gt;0,$L$12*12*(1+$I$10)^(21-1),0)+$L$13*(1+$I$10)^(21-1))+D65*$L$10</f>
        <v>7259.7445977918478</v>
      </c>
      <c r="F65" s="33">
        <f t="shared" si="1"/>
        <v>14761.995810607368</v>
      </c>
      <c r="G65" s="34">
        <f t="shared" si="2"/>
        <v>3909.1520385397116</v>
      </c>
      <c r="H65" s="35">
        <f t="shared" si="3"/>
        <v>10852.843772067656</v>
      </c>
      <c r="I65" s="36">
        <f t="shared" si="4"/>
        <v>0.2953154767909566</v>
      </c>
      <c r="J65" s="33">
        <f>IFERROR(-CUMPRINC($F$8/12,$F$9*12,$F$10,(21-1)*12+1,21*12,0),0)</f>
        <v>2276.7871297889706</v>
      </c>
      <c r="K65" s="33">
        <f t="shared" si="7"/>
        <v>28755.117009218702</v>
      </c>
      <c r="L65" s="36">
        <f t="shared" si="5"/>
        <v>0.35726886807773134</v>
      </c>
    </row>
    <row r="66" spans="2:12" ht="16.5" customHeight="1" x14ac:dyDescent="0.35">
      <c r="B66" s="32">
        <v>22</v>
      </c>
      <c r="C66" s="37">
        <f t="shared" si="6"/>
        <v>23644.39496480758</v>
      </c>
      <c r="D66" s="37">
        <f t="shared" si="0"/>
        <v>22462.175216567201</v>
      </c>
      <c r="E66" s="38">
        <f>($I$11*(1+$I$10)^(22-1)+$L$11*(1+$I$10)^(22-1)+$I$12*(1+$I$10)^(22-1)+IF($L$12&gt;0,$L$12*12*(1+$I$10)^(22-1),0)+$L$13*(1+$I$10)^(22-1))+D66*$L$10</f>
        <v>7404.9394897476841</v>
      </c>
      <c r="F66" s="37">
        <f t="shared" si="1"/>
        <v>15057.235726819516</v>
      </c>
      <c r="G66" s="38">
        <f t="shared" si="2"/>
        <v>3909.1520385397116</v>
      </c>
      <c r="H66" s="35">
        <f t="shared" si="3"/>
        <v>11148.083688279803</v>
      </c>
      <c r="I66" s="39">
        <f t="shared" si="4"/>
        <v>0.30334921600761366</v>
      </c>
      <c r="J66" s="37">
        <f>IFERROR(-CUMPRINC($F$8/12,$F$9*12,$F$10,(22-1)*12+1,22*12,0),0)</f>
        <v>2409.5289973024087</v>
      </c>
      <c r="K66" s="37">
        <f t="shared" si="7"/>
        <v>31164.64600652111</v>
      </c>
      <c r="L66" s="39">
        <f t="shared" si="5"/>
        <v>0.36891463090019622</v>
      </c>
    </row>
    <row r="67" spans="2:12" ht="16.5" customHeight="1" x14ac:dyDescent="0.35">
      <c r="B67" s="32">
        <v>23</v>
      </c>
      <c r="C67" s="33">
        <f t="shared" si="6"/>
        <v>24117.28286410373</v>
      </c>
      <c r="D67" s="33">
        <f t="shared" si="0"/>
        <v>22911.418720898542</v>
      </c>
      <c r="E67" s="34">
        <f>($I$11*(1+$I$10)^(23-1)+$L$11*(1+$I$10)^(23-1)+$I$12*(1+$I$10)^(23-1)+IF($L$12&gt;0,$L$12*12*(1+$I$10)^(23-1),0)+$L$13*(1+$I$10)^(23-1))+D67*$L$10</f>
        <v>7553.0382795426376</v>
      </c>
      <c r="F67" s="33">
        <f t="shared" si="1"/>
        <v>15358.380441355905</v>
      </c>
      <c r="G67" s="34">
        <f t="shared" si="2"/>
        <v>3909.1520385397116</v>
      </c>
      <c r="H67" s="35">
        <f t="shared" si="3"/>
        <v>11449.228402816192</v>
      </c>
      <c r="I67" s="36">
        <f t="shared" si="4"/>
        <v>0.31154363000860386</v>
      </c>
      <c r="J67" s="33">
        <f>IFERROR(-CUMPRINC($F$8/12,$F$9*12,$F$10,(23-1)*12+1,23*12,0),0)</f>
        <v>2550.0100175721213</v>
      </c>
      <c r="K67" s="33">
        <f t="shared" si="7"/>
        <v>33714.65602409323</v>
      </c>
      <c r="L67" s="36">
        <f t="shared" si="5"/>
        <v>0.3809316576976412</v>
      </c>
    </row>
    <row r="68" spans="2:12" ht="16.5" customHeight="1" x14ac:dyDescent="0.35">
      <c r="B68" s="32">
        <v>24</v>
      </c>
      <c r="C68" s="37">
        <f t="shared" si="6"/>
        <v>24599.628521385806</v>
      </c>
      <c r="D68" s="37">
        <f t="shared" si="0"/>
        <v>23369.647095316515</v>
      </c>
      <c r="E68" s="38">
        <f>($I$11*(1+$I$10)^(24-1)+$L$11*(1+$I$10)^(24-1)+$I$12*(1+$I$10)^(24-1)+IF($L$12&gt;0,$L$12*12*(1+$I$10)^(24-1),0)+$L$13*(1+$I$10)^(24-1))+D68*$L$10</f>
        <v>7704.099045133491</v>
      </c>
      <c r="F68" s="37">
        <f t="shared" si="1"/>
        <v>15665.548050183024</v>
      </c>
      <c r="G68" s="38">
        <f t="shared" si="2"/>
        <v>3909.1520385397116</v>
      </c>
      <c r="H68" s="35">
        <f t="shared" si="3"/>
        <v>11756.396011643312</v>
      </c>
      <c r="I68" s="39">
        <f t="shared" si="4"/>
        <v>0.31990193228961394</v>
      </c>
      <c r="J68" s="37">
        <f>IFERROR(-CUMPRINC($F$8/12,$F$9*12,$F$10,(24-1)*12+1,24*12,0),0)</f>
        <v>2698.6814008041024</v>
      </c>
      <c r="K68" s="37">
        <f t="shared" si="7"/>
        <v>36413.337424897334</v>
      </c>
      <c r="L68" s="39">
        <f t="shared" si="5"/>
        <v>0.39333543979448743</v>
      </c>
    </row>
    <row r="69" spans="2:12" ht="16.5" customHeight="1" x14ac:dyDescent="0.35">
      <c r="B69" s="32">
        <v>25</v>
      </c>
      <c r="C69" s="33">
        <f t="shared" si="6"/>
        <v>25091.621091813522</v>
      </c>
      <c r="D69" s="33">
        <f t="shared" si="0"/>
        <v>23837.040037222843</v>
      </c>
      <c r="E69" s="34">
        <f>($I$11*(1+$I$10)^(25-1)+$L$11*(1+$I$10)^(25-1)+$I$12*(1+$I$10)^(25-1)+IF($L$12&gt;0,$L$12*12*(1+$I$10)^(25-1),0)+$L$13*(1+$I$10)^(25-1))+D69*$L$10</f>
        <v>7858.1810260361599</v>
      </c>
      <c r="F69" s="33">
        <f t="shared" si="1"/>
        <v>15978.859011186683</v>
      </c>
      <c r="G69" s="34">
        <f t="shared" si="2"/>
        <v>3909.1520385397116</v>
      </c>
      <c r="H69" s="35">
        <f t="shared" si="3"/>
        <v>12069.706972646971</v>
      </c>
      <c r="I69" s="36">
        <f t="shared" si="4"/>
        <v>0.32842740061624409</v>
      </c>
      <c r="J69" s="33">
        <f>IFERROR(-CUMPRINC($F$8/12,$F$9*12,$F$10,(25-1)*12+1,25*12,0),0)</f>
        <v>2856.0206637854958</v>
      </c>
      <c r="K69" s="33">
        <f t="shared" si="7"/>
        <v>39269.358088682828</v>
      </c>
      <c r="L69" s="36">
        <f t="shared" si="5"/>
        <v>0.40614224861040726</v>
      </c>
    </row>
    <row r="70" spans="2:12" ht="16.5" customHeight="1" x14ac:dyDescent="0.35">
      <c r="B70" s="32">
        <v>26</v>
      </c>
      <c r="C70" s="37">
        <f t="shared" si="6"/>
        <v>25593.453513649794</v>
      </c>
      <c r="D70" s="37">
        <f t="shared" si="0"/>
        <v>24313.780837967304</v>
      </c>
      <c r="E70" s="38">
        <f>($I$11*(1+$I$10)^(26-1)+$L$11*(1+$I$10)^(26-1)+$I$12*(1+$I$10)^(26-1)+IF($L$12&gt;0,$L$12*12*(1+$I$10)^(26-1),0)+$L$13*(1+$I$10)^(26-1))+D70*$L$10</f>
        <v>8015.3446465568841</v>
      </c>
      <c r="F70" s="37">
        <f t="shared" si="1"/>
        <v>16298.436191410419</v>
      </c>
      <c r="G70" s="38">
        <f t="shared" si="2"/>
        <v>3909.1520385397116</v>
      </c>
      <c r="H70" s="35">
        <f t="shared" si="3"/>
        <v>12389.284152870707</v>
      </c>
      <c r="I70" s="39">
        <f t="shared" si="4"/>
        <v>0.33712337830940697</v>
      </c>
      <c r="J70" s="37">
        <f>IFERROR(-CUMPRINC($F$8/12,$F$9*12,$F$10,(26-1)*12+1,26*12,0),0)</f>
        <v>3022.5331636180972</v>
      </c>
      <c r="K70" s="37">
        <f t="shared" si="7"/>
        <v>42291.891252300928</v>
      </c>
      <c r="L70" s="39">
        <f t="shared" si="5"/>
        <v>0.41936917867996742</v>
      </c>
    </row>
    <row r="71" spans="2:12" ht="16.5" customHeight="1" x14ac:dyDescent="0.35">
      <c r="B71" s="32">
        <v>27</v>
      </c>
      <c r="C71" s="33">
        <f t="shared" si="6"/>
        <v>26105.322583922789</v>
      </c>
      <c r="D71" s="33">
        <f t="shared" si="0"/>
        <v>24800.056454726648</v>
      </c>
      <c r="E71" s="34">
        <f>($I$11*(1+$I$10)^(27-1)+$L$11*(1+$I$10)^(27-1)+$I$12*(1+$I$10)^(27-1)+IF($L$12&gt;0,$L$12*12*(1+$I$10)^(27-1),0)+$L$13*(1+$I$10)^(27-1))+D71*$L$10</f>
        <v>8175.6515394880207</v>
      </c>
      <c r="F71" s="33">
        <f t="shared" si="1"/>
        <v>16624.404915238629</v>
      </c>
      <c r="G71" s="34">
        <f t="shared" si="2"/>
        <v>3909.1520385397116</v>
      </c>
      <c r="H71" s="35">
        <f t="shared" si="3"/>
        <v>12715.252876698916</v>
      </c>
      <c r="I71" s="36">
        <f t="shared" si="4"/>
        <v>0.34599327555643311</v>
      </c>
      <c r="J71" s="33">
        <f>IFERROR(-CUMPRINC($F$8/12,$F$9*12,$F$10,(27-1)*12+1,27*12,0),0)</f>
        <v>3198.7537208720182</v>
      </c>
      <c r="K71" s="33">
        <f t="shared" si="7"/>
        <v>45490.644973172944</v>
      </c>
      <c r="L71" s="36">
        <f t="shared" si="5"/>
        <v>0.43303419313118191</v>
      </c>
    </row>
    <row r="72" spans="2:12" ht="16.5" customHeight="1" x14ac:dyDescent="0.35">
      <c r="B72" s="32">
        <v>28</v>
      </c>
      <c r="C72" s="37">
        <f t="shared" si="6"/>
        <v>26627.429035601246</v>
      </c>
      <c r="D72" s="37">
        <f t="shared" si="0"/>
        <v>25296.057583821184</v>
      </c>
      <c r="E72" s="38">
        <f>($I$11*(1+$I$10)^(28-1)+$L$11*(1+$I$10)^(28-1)+$I$12*(1+$I$10)^(28-1)+IF($L$12&gt;0,$L$12*12*(1+$I$10)^(28-1),0)+$L$13*(1+$I$10)^(28-1))+D72*$L$10</f>
        <v>8339.1645702777805</v>
      </c>
      <c r="F72" s="37">
        <f t="shared" si="1"/>
        <v>16956.893013543406</v>
      </c>
      <c r="G72" s="38">
        <f t="shared" si="2"/>
        <v>3909.1520385397116</v>
      </c>
      <c r="H72" s="35">
        <f t="shared" si="3"/>
        <v>13047.740975003693</v>
      </c>
      <c r="I72" s="39">
        <f t="shared" si="4"/>
        <v>0.35504057074839979</v>
      </c>
      <c r="J72" s="37">
        <f>IFERROR(-CUMPRINC($F$8/12,$F$9*12,$F$10,(28-1)*12+1,28*12,0),0)</f>
        <v>3385.2483373728883</v>
      </c>
      <c r="K72" s="37">
        <f t="shared" si="7"/>
        <v>48875.893310545835</v>
      </c>
      <c r="L72" s="39">
        <f t="shared" si="5"/>
        <v>0.44715617176534911</v>
      </c>
    </row>
    <row r="73" spans="2:12" ht="16.5" customHeight="1" x14ac:dyDescent="0.35">
      <c r="B73" s="32">
        <v>29</v>
      </c>
      <c r="C73" s="33">
        <f t="shared" si="6"/>
        <v>27159.97761631327</v>
      </c>
      <c r="D73" s="33">
        <f t="shared" si="0"/>
        <v>25801.978735497607</v>
      </c>
      <c r="E73" s="34">
        <f>($I$11*(1+$I$10)^(29-1)+$L$11*(1+$I$10)^(29-1)+$I$12*(1+$I$10)^(29-1)+IF($L$12&gt;0,$L$12*12*(1+$I$10)^(29-1),0)+$L$13*(1+$I$10)^(29-1))+D73*$L$10</f>
        <v>8505.9478616833385</v>
      </c>
      <c r="F73" s="33">
        <f t="shared" si="1"/>
        <v>17296.03087381427</v>
      </c>
      <c r="G73" s="34">
        <f t="shared" si="2"/>
        <v>3909.1520385397116</v>
      </c>
      <c r="H73" s="35">
        <f t="shared" si="3"/>
        <v>13386.878835274558</v>
      </c>
      <c r="I73" s="36">
        <f t="shared" si="4"/>
        <v>0.36426881184420568</v>
      </c>
      <c r="J73" s="33">
        <f>IFERROR(-CUMPRINC($F$8/12,$F$9*12,$F$10,(29-1)*12+1,29*12,0),0)</f>
        <v>3582.6160141399691</v>
      </c>
      <c r="K73" s="33">
        <f t="shared" si="7"/>
        <v>52458.509324685801</v>
      </c>
      <c r="L73" s="36">
        <f t="shared" si="5"/>
        <v>0.4617549618888307</v>
      </c>
    </row>
    <row r="74" spans="2:12" ht="16.5" customHeight="1" x14ac:dyDescent="0.35">
      <c r="B74" s="32">
        <v>30</v>
      </c>
      <c r="C74" s="37">
        <f t="shared" si="6"/>
        <v>27703.177168639537</v>
      </c>
      <c r="D74" s="37">
        <f t="shared" si="0"/>
        <v>26318.018310207557</v>
      </c>
      <c r="E74" s="38">
        <f>($I$11*(1+$I$10)^(30-1)+$L$11*(1+$I$10)^(30-1)+$I$12*(1+$I$10)^(30-1)+IF($L$12&gt;0,$L$12*12*(1+$I$10)^(30-1),0)+$L$13*(1+$I$10)^(30-1))+D74*$L$10</f>
        <v>8676.0668189170046</v>
      </c>
      <c r="F74" s="37">
        <f t="shared" si="1"/>
        <v>17641.951491290551</v>
      </c>
      <c r="G74" s="38">
        <f t="shared" si="2"/>
        <v>3909.1520385397116</v>
      </c>
      <c r="H74" s="35">
        <f t="shared" si="3"/>
        <v>13732.799452750838</v>
      </c>
      <c r="I74" s="39">
        <f t="shared" si="4"/>
        <v>0.37368161776192754</v>
      </c>
      <c r="J74" s="37">
        <f>IFERROR(-CUMPRINC($F$8/12,$F$9*12,$F$10,(30-1)*12+1,30*12,0),0)</f>
        <v>3791.4906753141868</v>
      </c>
      <c r="K74" s="37">
        <f t="shared" si="7"/>
        <v>56249.999999999985</v>
      </c>
      <c r="L74" s="39">
        <f t="shared" si="5"/>
        <v>0.47685143205619118</v>
      </c>
    </row>
    <row r="75" spans="2:12" ht="21.75" customHeight="1" x14ac:dyDescent="0.35">
      <c r="B75" s="20" t="s">
        <v>113</v>
      </c>
      <c r="C75" s="40">
        <f t="shared" ref="C75:H75" si="8">SUM(C45:C74)</f>
        <v>632862.0356006159</v>
      </c>
      <c r="D75" s="40">
        <f t="shared" si="8"/>
        <v>601218.93382058514</v>
      </c>
      <c r="E75" s="41">
        <f t="shared" si="8"/>
        <v>198849.40776476727</v>
      </c>
      <c r="F75" s="40">
        <f t="shared" si="8"/>
        <v>402369.5260558179</v>
      </c>
      <c r="G75" s="41">
        <f t="shared" si="8"/>
        <v>117274.5611561914</v>
      </c>
      <c r="H75" s="40">
        <f t="shared" si="8"/>
        <v>285094.96489962662</v>
      </c>
      <c r="I75" s="42">
        <f>AVERAGE(I45:I74)</f>
        <v>0.25858953732392426</v>
      </c>
      <c r="J75" s="40">
        <f>SUM(J45:J74)</f>
        <v>56249.999999999985</v>
      </c>
      <c r="K75" s="40">
        <f>K74</f>
        <v>56249.999999999985</v>
      </c>
      <c r="L75" s="42">
        <f>AVERAGE(L45:L74)</f>
        <v>0.30960994548718968</v>
      </c>
    </row>
    <row r="76" spans="2:12" ht="18" customHeight="1" x14ac:dyDescent="0.35"/>
    <row r="77" spans="2:12" ht="45" customHeight="1" x14ac:dyDescent="0.35">
      <c r="B77" s="11" t="s">
        <v>114</v>
      </c>
      <c r="C77" s="11"/>
      <c r="D77" s="11"/>
      <c r="E77" s="11"/>
      <c r="F77" s="11"/>
      <c r="G77" s="11"/>
      <c r="H77" s="11"/>
      <c r="I77" s="11"/>
      <c r="J77" s="11"/>
      <c r="K77" s="11"/>
      <c r="L77" s="11"/>
    </row>
    <row r="78" spans="2:12" ht="19.5" customHeight="1" x14ac:dyDescent="0.35">
      <c r="B78" s="59" t="s">
        <v>29</v>
      </c>
      <c r="C78" s="59"/>
      <c r="D78" s="59"/>
      <c r="E78" s="59"/>
      <c r="F78" s="59"/>
      <c r="G78" s="59"/>
      <c r="H78" s="59"/>
      <c r="I78" s="59"/>
      <c r="J78" s="59"/>
      <c r="K78" s="59"/>
      <c r="L78" s="59"/>
    </row>
    <row r="79" spans="2:12" ht="18" customHeight="1" x14ac:dyDescent="0.35"/>
    <row r="80" spans="2:12" ht="18" customHeight="1" x14ac:dyDescent="0.35"/>
    <row r="81" ht="18" customHeight="1" x14ac:dyDescent="0.35"/>
    <row r="82" ht="18" customHeight="1" x14ac:dyDescent="0.35"/>
    <row r="83" ht="18" customHeight="1" x14ac:dyDescent="0.35"/>
    <row r="84" ht="18" customHeight="1" x14ac:dyDescent="0.35"/>
    <row r="85" ht="18" customHeight="1" x14ac:dyDescent="0.35"/>
    <row r="86" ht="18" customHeight="1" x14ac:dyDescent="0.35"/>
    <row r="87" ht="18" customHeight="1" x14ac:dyDescent="0.35"/>
    <row r="88" ht="18" customHeight="1" x14ac:dyDescent="0.35"/>
    <row r="89" ht="18" customHeight="1" x14ac:dyDescent="0.35"/>
    <row r="90" ht="18" customHeight="1" x14ac:dyDescent="0.35"/>
    <row r="91" ht="18" customHeight="1" x14ac:dyDescent="0.35"/>
    <row r="92" ht="18" customHeight="1" x14ac:dyDescent="0.35"/>
    <row r="93" ht="18" customHeight="1" x14ac:dyDescent="0.35"/>
    <row r="94" ht="18" customHeight="1" x14ac:dyDescent="0.35"/>
    <row r="95" ht="18" customHeight="1" x14ac:dyDescent="0.35"/>
    <row r="96" ht="18" customHeight="1" x14ac:dyDescent="0.35"/>
    <row r="97" ht="18" customHeight="1" x14ac:dyDescent="0.35"/>
    <row r="98" ht="18" customHeight="1" x14ac:dyDescent="0.35"/>
    <row r="99" ht="18" customHeight="1" x14ac:dyDescent="0.35"/>
    <row r="100" ht="18" customHeight="1" x14ac:dyDescent="0.35"/>
    <row r="101" ht="18" customHeight="1" x14ac:dyDescent="0.35"/>
    <row r="102" ht="18" customHeight="1" x14ac:dyDescent="0.35"/>
    <row r="103" ht="18" customHeight="1" x14ac:dyDescent="0.35"/>
    <row r="104" ht="18" customHeight="1" x14ac:dyDescent="0.35"/>
    <row r="105" ht="18" customHeight="1" x14ac:dyDescent="0.35"/>
    <row r="106" ht="18" customHeight="1" x14ac:dyDescent="0.35"/>
    <row r="107" ht="18" customHeight="1" x14ac:dyDescent="0.35"/>
    <row r="108" ht="18" customHeight="1" x14ac:dyDescent="0.35"/>
    <row r="109" ht="18" customHeight="1" x14ac:dyDescent="0.35"/>
    <row r="110" ht="18" customHeight="1" x14ac:dyDescent="0.35"/>
    <row r="111" ht="18" customHeight="1" x14ac:dyDescent="0.35"/>
    <row r="112" ht="18" customHeight="1" x14ac:dyDescent="0.35"/>
    <row r="113" ht="18" customHeight="1" x14ac:dyDescent="0.35"/>
    <row r="114" ht="18" customHeight="1" x14ac:dyDescent="0.35"/>
    <row r="115" ht="18" customHeight="1" x14ac:dyDescent="0.35"/>
    <row r="116" ht="18" customHeight="1" x14ac:dyDescent="0.35"/>
    <row r="117" ht="18" customHeight="1" x14ac:dyDescent="0.35"/>
    <row r="118" ht="18" customHeight="1" x14ac:dyDescent="0.35"/>
    <row r="119" ht="18" customHeight="1" x14ac:dyDescent="0.35"/>
  </sheetData>
  <mergeCells count="101">
    <mergeCell ref="B41:C41"/>
    <mergeCell ref="E41:F41"/>
    <mergeCell ref="H41:I41"/>
    <mergeCell ref="K41:L41"/>
    <mergeCell ref="B43:L43"/>
    <mergeCell ref="B77:L77"/>
    <mergeCell ref="B78:L78"/>
    <mergeCell ref="B38:C38"/>
    <mergeCell ref="E38:F38"/>
    <mergeCell ref="H38:I38"/>
    <mergeCell ref="K38:L38"/>
    <mergeCell ref="B39:C39"/>
    <mergeCell ref="E39:F39"/>
    <mergeCell ref="H39:I39"/>
    <mergeCell ref="K39:L39"/>
    <mergeCell ref="B40:C40"/>
    <mergeCell ref="E40:F40"/>
    <mergeCell ref="H40:I40"/>
    <mergeCell ref="K40:L40"/>
    <mergeCell ref="B35:C35"/>
    <mergeCell ref="E35:F35"/>
    <mergeCell ref="H35:I35"/>
    <mergeCell ref="K35:L35"/>
    <mergeCell ref="B36:L36"/>
    <mergeCell ref="B37:C37"/>
    <mergeCell ref="E37:F37"/>
    <mergeCell ref="H37:I37"/>
    <mergeCell ref="K37:L37"/>
    <mergeCell ref="B32:C32"/>
    <mergeCell ref="E32:F32"/>
    <mergeCell ref="H32:I32"/>
    <mergeCell ref="K32:L32"/>
    <mergeCell ref="B33:C33"/>
    <mergeCell ref="E33:F33"/>
    <mergeCell ref="H33:I33"/>
    <mergeCell ref="K33:L33"/>
    <mergeCell ref="B34:C34"/>
    <mergeCell ref="E34:F34"/>
    <mergeCell ref="H34:I34"/>
    <mergeCell ref="K34:L34"/>
    <mergeCell ref="B29:C29"/>
    <mergeCell ref="E29:F29"/>
    <mergeCell ref="H29:I29"/>
    <mergeCell ref="K29:L29"/>
    <mergeCell ref="B30:C30"/>
    <mergeCell ref="E30:F30"/>
    <mergeCell ref="H30:I30"/>
    <mergeCell ref="K30:L30"/>
    <mergeCell ref="B31:L31"/>
    <mergeCell ref="B26:C26"/>
    <mergeCell ref="E26:F26"/>
    <mergeCell ref="H26:I26"/>
    <mergeCell ref="K26:L26"/>
    <mergeCell ref="B27:C27"/>
    <mergeCell ref="E27:F27"/>
    <mergeCell ref="H27:I27"/>
    <mergeCell ref="K27:L27"/>
    <mergeCell ref="B28:C28"/>
    <mergeCell ref="E28:F28"/>
    <mergeCell ref="H28:I28"/>
    <mergeCell ref="K28:L28"/>
    <mergeCell ref="B23:C23"/>
    <mergeCell ref="E23:F23"/>
    <mergeCell ref="H23:I23"/>
    <mergeCell ref="K23:L23"/>
    <mergeCell ref="B24:C24"/>
    <mergeCell ref="E24:F24"/>
    <mergeCell ref="H24:I24"/>
    <mergeCell ref="K24:L24"/>
    <mergeCell ref="B25:C25"/>
    <mergeCell ref="E25:F25"/>
    <mergeCell ref="H25:I25"/>
    <mergeCell ref="K25:L25"/>
    <mergeCell ref="B20:C20"/>
    <mergeCell ref="E20:F20"/>
    <mergeCell ref="H20:I20"/>
    <mergeCell ref="K20:L20"/>
    <mergeCell ref="B21:C21"/>
    <mergeCell ref="E21:F21"/>
    <mergeCell ref="H21:I21"/>
    <mergeCell ref="K21:L21"/>
    <mergeCell ref="B22:L22"/>
    <mergeCell ref="B17:L17"/>
    <mergeCell ref="B18:C18"/>
    <mergeCell ref="E18:F18"/>
    <mergeCell ref="H18:I18"/>
    <mergeCell ref="K18:L18"/>
    <mergeCell ref="B19:C19"/>
    <mergeCell ref="E19:F19"/>
    <mergeCell ref="H19:I19"/>
    <mergeCell ref="K19:L19"/>
    <mergeCell ref="A2:M2"/>
    <mergeCell ref="A4:M4"/>
    <mergeCell ref="B6:C6"/>
    <mergeCell ref="E6:F6"/>
    <mergeCell ref="H6:I6"/>
    <mergeCell ref="K6:L6"/>
    <mergeCell ref="B15:C15"/>
    <mergeCell ref="E15:F15"/>
    <mergeCell ref="H15:I15"/>
    <mergeCell ref="K15:L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9"/>
  <sheetViews>
    <sheetView showGridLines="0" topLeftCell="A4" zoomScale="115" zoomScaleNormal="115" workbookViewId="0">
      <selection activeCell="A34" sqref="A34:J34"/>
    </sheetView>
  </sheetViews>
  <sheetFormatPr defaultColWidth="8.6328125" defaultRowHeight="14.5" x14ac:dyDescent="0.35"/>
  <cols>
    <col min="1" max="1" width="1.54296875" customWidth="1"/>
    <col min="2" max="2" width="26" customWidth="1"/>
    <col min="3" max="3" width="18" customWidth="1"/>
    <col min="4" max="4" width="2" customWidth="1"/>
    <col min="5" max="5" width="26" customWidth="1"/>
    <col min="6" max="6" width="18" customWidth="1"/>
    <col min="7" max="7" width="2" customWidth="1"/>
    <col min="8" max="8" width="26" customWidth="1"/>
    <col min="9" max="9" width="18" customWidth="1"/>
    <col min="10" max="10" width="1.54296875" customWidth="1"/>
  </cols>
  <sheetData>
    <row r="1" spans="1:10" ht="6" customHeight="1" x14ac:dyDescent="0.35">
      <c r="A1" s="14"/>
      <c r="B1" s="14"/>
      <c r="C1" s="14"/>
      <c r="D1" s="14"/>
      <c r="E1" s="14"/>
      <c r="F1" s="14"/>
      <c r="G1" s="14"/>
      <c r="H1" s="14"/>
      <c r="I1" s="14"/>
      <c r="J1" s="14"/>
    </row>
    <row r="2" spans="1:10" ht="64.5" customHeight="1" x14ac:dyDescent="0.35">
      <c r="A2" s="13" t="s">
        <v>0</v>
      </c>
      <c r="B2" s="13"/>
      <c r="C2" s="13"/>
      <c r="D2" s="13"/>
      <c r="E2" s="13"/>
      <c r="F2" s="13"/>
      <c r="G2" s="13"/>
      <c r="H2" s="13"/>
      <c r="I2" s="13"/>
      <c r="J2" s="13"/>
    </row>
    <row r="3" spans="1:10" ht="4.5" customHeight="1" x14ac:dyDescent="0.35"/>
    <row r="4" spans="1:10" ht="27.75" customHeight="1" x14ac:dyDescent="0.35">
      <c r="A4" s="12" t="s">
        <v>1</v>
      </c>
      <c r="B4" s="12"/>
      <c r="C4" s="12"/>
      <c r="D4" s="12"/>
      <c r="E4" s="12"/>
      <c r="F4" s="12"/>
      <c r="G4" s="12"/>
      <c r="H4" s="12"/>
      <c r="I4" s="12"/>
      <c r="J4" s="12"/>
    </row>
    <row r="5" spans="1:10" ht="4.5" customHeight="1" x14ac:dyDescent="0.35"/>
    <row r="6" spans="1:10" ht="42" customHeight="1" x14ac:dyDescent="0.35">
      <c r="A6" s="11" t="s">
        <v>2</v>
      </c>
      <c r="B6" s="11"/>
      <c r="C6" s="11"/>
      <c r="D6" s="11"/>
      <c r="E6" s="11"/>
      <c r="F6" s="11"/>
      <c r="G6" s="11"/>
      <c r="H6" s="11"/>
      <c r="I6" s="11"/>
      <c r="J6" s="11"/>
    </row>
    <row r="7" spans="1:10" ht="7.5" customHeight="1" x14ac:dyDescent="0.35"/>
    <row r="8" spans="1:10" ht="24" customHeight="1" x14ac:dyDescent="0.35">
      <c r="A8" s="10" t="s">
        <v>3</v>
      </c>
      <c r="B8" s="10"/>
      <c r="C8" s="10"/>
      <c r="D8" s="10"/>
      <c r="E8" s="10"/>
      <c r="F8" s="10"/>
      <c r="G8" s="10"/>
      <c r="H8" s="10"/>
      <c r="I8" s="10"/>
      <c r="J8" s="10"/>
    </row>
    <row r="9" spans="1:10" ht="19.5" customHeight="1" x14ac:dyDescent="0.35">
      <c r="B9" s="9" t="s">
        <v>4</v>
      </c>
      <c r="C9" s="9"/>
      <c r="E9" s="8" t="s">
        <v>5</v>
      </c>
      <c r="F9" s="8"/>
      <c r="H9" s="7" t="s">
        <v>6</v>
      </c>
      <c r="I9" s="7"/>
    </row>
    <row r="10" spans="1:10" ht="33.75" customHeight="1" x14ac:dyDescent="0.35">
      <c r="B10" s="6">
        <f>Calculator!C7</f>
        <v>75000</v>
      </c>
      <c r="C10" s="6"/>
      <c r="E10" s="5">
        <f>Calculator!F13</f>
        <v>36750</v>
      </c>
      <c r="F10" s="5"/>
      <c r="H10" s="4">
        <f>Calculator!F12</f>
        <v>325.76266987830928</v>
      </c>
      <c r="I10" s="4"/>
    </row>
    <row r="11" spans="1:10" ht="6" customHeight="1" x14ac:dyDescent="0.35"/>
    <row r="12" spans="1:10" ht="19.5" customHeight="1" x14ac:dyDescent="0.35">
      <c r="B12" s="3" t="s">
        <v>7</v>
      </c>
      <c r="C12" s="3"/>
      <c r="E12" s="2" t="s">
        <v>8</v>
      </c>
      <c r="F12" s="2"/>
      <c r="H12" s="1" t="s">
        <v>9</v>
      </c>
      <c r="I12" s="1"/>
    </row>
    <row r="13" spans="1:10" ht="33.75" customHeight="1" x14ac:dyDescent="0.35">
      <c r="B13" s="43">
        <f>Calculator!E34</f>
        <v>5375.247961460288</v>
      </c>
      <c r="C13" s="43"/>
      <c r="E13" s="44">
        <f>Calculator!E37</f>
        <v>0.14626525065198062</v>
      </c>
      <c r="F13" s="44"/>
      <c r="H13" s="45">
        <f>Calculator!E32</f>
        <v>9284.4</v>
      </c>
      <c r="I13" s="45"/>
    </row>
    <row r="14" spans="1:10" ht="6" customHeight="1" x14ac:dyDescent="0.35"/>
    <row r="15" spans="1:10" ht="19.5" customHeight="1" x14ac:dyDescent="0.35">
      <c r="B15" s="3" t="s">
        <v>10</v>
      </c>
      <c r="C15" s="3"/>
      <c r="E15" s="2" t="s">
        <v>11</v>
      </c>
      <c r="F15" s="2"/>
      <c r="H15" s="46" t="s">
        <v>12</v>
      </c>
      <c r="I15" s="46"/>
    </row>
    <row r="16" spans="1:10" ht="33.75" customHeight="1" x14ac:dyDescent="0.35">
      <c r="B16" s="43">
        <f>Calculator!H34</f>
        <v>6560.8479614602884</v>
      </c>
      <c r="C16" s="43"/>
      <c r="E16" s="44">
        <f>Calculator!H37</f>
        <v>0.17852647514177655</v>
      </c>
      <c r="F16" s="44"/>
      <c r="H16" s="47">
        <f>Calculator!E38</f>
        <v>0.16621192496661044</v>
      </c>
      <c r="I16" s="47"/>
    </row>
    <row r="17" spans="1:10" ht="6" customHeight="1" x14ac:dyDescent="0.35"/>
    <row r="18" spans="1:10" ht="7.5" customHeight="1" x14ac:dyDescent="0.35"/>
    <row r="19" spans="1:10" ht="24" customHeight="1" x14ac:dyDescent="0.35">
      <c r="A19" s="10" t="s">
        <v>13</v>
      </c>
      <c r="B19" s="10"/>
      <c r="C19" s="10"/>
      <c r="D19" s="10"/>
      <c r="E19" s="10"/>
      <c r="F19" s="10"/>
      <c r="G19" s="10"/>
      <c r="H19" s="10"/>
      <c r="I19" s="10"/>
      <c r="J19" s="10"/>
    </row>
    <row r="20" spans="1:10" ht="21.75" customHeight="1" x14ac:dyDescent="0.35">
      <c r="B20" s="48" t="s">
        <v>14</v>
      </c>
      <c r="C20" s="48"/>
      <c r="D20" s="15"/>
      <c r="E20" s="48" t="s">
        <v>15</v>
      </c>
      <c r="F20" s="48"/>
      <c r="G20" s="15"/>
      <c r="H20" s="48" t="s">
        <v>16</v>
      </c>
      <c r="I20" s="48"/>
      <c r="J20" s="15"/>
    </row>
    <row r="21" spans="1:10" ht="19.5" customHeight="1" x14ac:dyDescent="0.35">
      <c r="B21" s="49" t="s">
        <v>17</v>
      </c>
      <c r="C21" s="49"/>
      <c r="D21" s="16"/>
      <c r="E21" s="50">
        <f>Calculator!E19</f>
        <v>15600</v>
      </c>
      <c r="F21" s="50"/>
      <c r="G21" s="16"/>
      <c r="H21" s="50">
        <f>Calculator!H19</f>
        <v>15600</v>
      </c>
      <c r="I21" s="50"/>
      <c r="J21" s="17"/>
    </row>
    <row r="22" spans="1:10" ht="19.5" customHeight="1" x14ac:dyDescent="0.35">
      <c r="B22" s="51" t="s">
        <v>18</v>
      </c>
      <c r="C22" s="51"/>
      <c r="D22" s="18"/>
      <c r="E22" s="52">
        <f>Calculator!E20</f>
        <v>-780</v>
      </c>
      <c r="F22" s="52"/>
      <c r="G22" s="18"/>
      <c r="H22" s="52">
        <f>Calculator!H20</f>
        <v>-780</v>
      </c>
      <c r="I22" s="52"/>
      <c r="J22" s="19"/>
    </row>
    <row r="23" spans="1:10" ht="19.5" customHeight="1" x14ac:dyDescent="0.35">
      <c r="B23" s="49" t="s">
        <v>19</v>
      </c>
      <c r="C23" s="49"/>
      <c r="D23" s="16"/>
      <c r="E23" s="53">
        <f>Calculator!E21</f>
        <v>14820</v>
      </c>
      <c r="F23" s="53"/>
      <c r="G23" s="16"/>
      <c r="H23" s="53">
        <f>Calculator!H21</f>
        <v>14820</v>
      </c>
      <c r="I23" s="53"/>
      <c r="J23" s="17"/>
    </row>
    <row r="24" spans="1:10" ht="19.5" customHeight="1" x14ac:dyDescent="0.35">
      <c r="B24" s="51" t="s">
        <v>20</v>
      </c>
      <c r="C24" s="51"/>
      <c r="D24" s="18"/>
      <c r="E24" s="54">
        <f>Calculator!E30</f>
        <v>-5535.6</v>
      </c>
      <c r="F24" s="54"/>
      <c r="G24" s="18"/>
      <c r="H24" s="54">
        <f>Calculator!H30</f>
        <v>-4350</v>
      </c>
      <c r="I24" s="54"/>
      <c r="J24" s="19"/>
    </row>
    <row r="25" spans="1:10" ht="19.5" customHeight="1" x14ac:dyDescent="0.35">
      <c r="B25" s="49" t="s">
        <v>21</v>
      </c>
      <c r="C25" s="49"/>
      <c r="D25" s="16"/>
      <c r="E25" s="53">
        <f>Calculator!E32</f>
        <v>9284.4</v>
      </c>
      <c r="F25" s="53"/>
      <c r="G25" s="16"/>
      <c r="H25" s="53">
        <f>Calculator!H32</f>
        <v>10470</v>
      </c>
      <c r="I25" s="53"/>
      <c r="J25" s="17"/>
    </row>
    <row r="26" spans="1:10" ht="19.5" customHeight="1" x14ac:dyDescent="0.35">
      <c r="B26" s="51" t="s">
        <v>22</v>
      </c>
      <c r="C26" s="51"/>
      <c r="D26" s="18"/>
      <c r="E26" s="52">
        <f>Calculator!E33</f>
        <v>-3909.1520385397116</v>
      </c>
      <c r="F26" s="52"/>
      <c r="G26" s="18"/>
      <c r="H26" s="52">
        <f>Calculator!H33</f>
        <v>-3909.1520385397116</v>
      </c>
      <c r="I26" s="52"/>
      <c r="J26" s="19"/>
    </row>
    <row r="27" spans="1:10" ht="19.5" customHeight="1" x14ac:dyDescent="0.35">
      <c r="B27" s="49" t="s">
        <v>23</v>
      </c>
      <c r="C27" s="49"/>
      <c r="D27" s="16"/>
      <c r="E27" s="53">
        <f>Calculator!E34</f>
        <v>5375.247961460288</v>
      </c>
      <c r="F27" s="53"/>
      <c r="G27" s="16"/>
      <c r="H27" s="53">
        <f>Calculator!H34</f>
        <v>6560.8479614602884</v>
      </c>
      <c r="I27" s="53"/>
      <c r="J27" s="17"/>
    </row>
    <row r="28" spans="1:10" ht="19.5" customHeight="1" x14ac:dyDescent="0.35">
      <c r="B28" s="51" t="s">
        <v>24</v>
      </c>
      <c r="C28" s="51"/>
      <c r="D28" s="18"/>
      <c r="E28" s="55">
        <f>Calculator!E35</f>
        <v>447.93733012169065</v>
      </c>
      <c r="F28" s="55"/>
      <c r="G28" s="18"/>
      <c r="H28" s="55">
        <f>Calculator!H35</f>
        <v>546.73733012169066</v>
      </c>
      <c r="I28" s="55"/>
      <c r="J28" s="19"/>
    </row>
    <row r="29" spans="1:10" ht="19.5" customHeight="1" x14ac:dyDescent="0.35">
      <c r="B29" s="49" t="s">
        <v>25</v>
      </c>
      <c r="C29" s="49"/>
      <c r="D29" s="16"/>
      <c r="E29" s="56">
        <f>Calculator!E37</f>
        <v>0.14626525065198062</v>
      </c>
      <c r="F29" s="56"/>
      <c r="G29" s="16"/>
      <c r="H29" s="56">
        <f>Calculator!H37</f>
        <v>0.17852647514177655</v>
      </c>
      <c r="I29" s="56"/>
      <c r="J29" s="17"/>
    </row>
    <row r="30" spans="1:10" ht="19.5" customHeight="1" x14ac:dyDescent="0.35">
      <c r="B30" s="51" t="s">
        <v>26</v>
      </c>
      <c r="C30" s="51"/>
      <c r="D30" s="18"/>
      <c r="E30" s="56">
        <f>Calculator!E38</f>
        <v>0.16621192496661044</v>
      </c>
      <c r="F30" s="56"/>
      <c r="G30" s="18"/>
      <c r="H30" s="56">
        <f>Calculator!H38</f>
        <v>0.19847314945640637</v>
      </c>
      <c r="I30" s="56"/>
      <c r="J30" s="19"/>
    </row>
    <row r="31" spans="1:10" ht="19.5" customHeight="1" x14ac:dyDescent="0.35">
      <c r="B31" s="49" t="s">
        <v>27</v>
      </c>
      <c r="C31" s="49"/>
      <c r="D31" s="16"/>
      <c r="E31" s="57">
        <f>Calculator!E39</f>
        <v>9.9832258064516122E-2</v>
      </c>
      <c r="F31" s="57"/>
      <c r="G31" s="16"/>
      <c r="H31" s="57">
        <f>Calculator!H39</f>
        <v>0.11258064516129032</v>
      </c>
      <c r="I31" s="57"/>
      <c r="J31" s="17"/>
    </row>
    <row r="32" spans="1:10" ht="19.5" customHeight="1" x14ac:dyDescent="0.35">
      <c r="B32" s="51" t="s">
        <v>28</v>
      </c>
      <c r="C32" s="51"/>
      <c r="D32" s="18"/>
      <c r="E32" s="58">
        <f>Calculator!E40</f>
        <v>4.8076923076923075</v>
      </c>
      <c r="F32" s="58"/>
      <c r="G32" s="18"/>
      <c r="H32" s="58">
        <f>Calculator!H40</f>
        <v>4.8076923076923075</v>
      </c>
      <c r="I32" s="58"/>
      <c r="J32" s="19"/>
    </row>
    <row r="33" spans="1:10" ht="18" customHeight="1" x14ac:dyDescent="0.35"/>
    <row r="34" spans="1:10" ht="21.75" customHeight="1" x14ac:dyDescent="0.35">
      <c r="A34" s="59" t="s">
        <v>29</v>
      </c>
      <c r="B34" s="59"/>
      <c r="C34" s="59"/>
      <c r="D34" s="59"/>
      <c r="E34" s="59"/>
      <c r="F34" s="59"/>
      <c r="G34" s="59"/>
      <c r="H34" s="59"/>
      <c r="I34" s="59"/>
      <c r="J34" s="59"/>
    </row>
    <row r="35" spans="1:10" ht="18" customHeight="1" x14ac:dyDescent="0.35"/>
    <row r="36" spans="1:10" ht="18" customHeight="1" x14ac:dyDescent="0.35"/>
    <row r="37" spans="1:10" ht="18" customHeight="1" x14ac:dyDescent="0.35"/>
    <row r="38" spans="1:10" ht="18" customHeight="1" x14ac:dyDescent="0.35"/>
    <row r="39" spans="1:10" ht="18" customHeight="1" x14ac:dyDescent="0.35"/>
    <row r="40" spans="1:10" ht="18" customHeight="1" x14ac:dyDescent="0.35"/>
    <row r="41" spans="1:10" ht="18" customHeight="1" x14ac:dyDescent="0.35"/>
    <row r="42" spans="1:10" ht="18" customHeight="1" x14ac:dyDescent="0.35"/>
    <row r="43" spans="1:10" ht="18" customHeight="1" x14ac:dyDescent="0.35"/>
    <row r="44" spans="1:10" ht="18" customHeight="1" x14ac:dyDescent="0.35"/>
    <row r="45" spans="1:10" ht="18" customHeight="1" x14ac:dyDescent="0.35"/>
    <row r="46" spans="1:10" ht="18" customHeight="1" x14ac:dyDescent="0.35"/>
    <row r="47" spans="1:10" ht="18" customHeight="1" x14ac:dyDescent="0.35"/>
    <row r="48" spans="1:10" ht="18" customHeight="1" x14ac:dyDescent="0.35"/>
    <row r="49" ht="18" customHeight="1" x14ac:dyDescent="0.35"/>
    <row r="50" ht="18" customHeight="1" x14ac:dyDescent="0.35"/>
    <row r="51" ht="18" customHeight="1" x14ac:dyDescent="0.35"/>
    <row r="52" ht="18" customHeight="1" x14ac:dyDescent="0.35"/>
    <row r="53" ht="18" customHeight="1" x14ac:dyDescent="0.35"/>
    <row r="54" ht="18" customHeight="1" x14ac:dyDescent="0.35"/>
    <row r="55" ht="18" customHeight="1" x14ac:dyDescent="0.35"/>
    <row r="56" ht="18" customHeight="1" x14ac:dyDescent="0.35"/>
    <row r="57" ht="18" customHeight="1" x14ac:dyDescent="0.35"/>
    <row r="58" ht="18" customHeight="1" x14ac:dyDescent="0.35"/>
    <row r="59" ht="18" customHeight="1" x14ac:dyDescent="0.35"/>
    <row r="60" ht="18" customHeight="1" x14ac:dyDescent="0.35"/>
    <row r="61" ht="18" customHeight="1" x14ac:dyDescent="0.35"/>
    <row r="62" ht="18" customHeight="1" x14ac:dyDescent="0.35"/>
    <row r="63" ht="18" customHeight="1" x14ac:dyDescent="0.35"/>
    <row r="64" ht="18" customHeight="1" x14ac:dyDescent="0.35"/>
    <row r="65" ht="18" customHeight="1" x14ac:dyDescent="0.35"/>
    <row r="66" ht="18" customHeight="1" x14ac:dyDescent="0.35"/>
    <row r="67" ht="18" customHeight="1" x14ac:dyDescent="0.35"/>
    <row r="68" ht="18" customHeight="1" x14ac:dyDescent="0.35"/>
    <row r="69" ht="18" customHeight="1" x14ac:dyDescent="0.35"/>
    <row r="70" ht="18" customHeight="1" x14ac:dyDescent="0.35"/>
    <row r="71" ht="18" customHeight="1" x14ac:dyDescent="0.35"/>
    <row r="72" ht="18" customHeight="1" x14ac:dyDescent="0.35"/>
    <row r="73" ht="18" customHeight="1" x14ac:dyDescent="0.35"/>
    <row r="74" ht="18" customHeight="1" x14ac:dyDescent="0.35"/>
    <row r="75" ht="18" customHeight="1" x14ac:dyDescent="0.35"/>
    <row r="76" ht="18" customHeight="1" x14ac:dyDescent="0.35"/>
    <row r="77" ht="18" customHeight="1" x14ac:dyDescent="0.35"/>
    <row r="78" ht="18" customHeight="1" x14ac:dyDescent="0.35"/>
    <row r="79" ht="18" customHeight="1" x14ac:dyDescent="0.35"/>
  </sheetData>
  <mergeCells count="64">
    <mergeCell ref="B32:C32"/>
    <mergeCell ref="E32:F32"/>
    <mergeCell ref="H32:I32"/>
    <mergeCell ref="A34:J34"/>
    <mergeCell ref="B30:C30"/>
    <mergeCell ref="E30:F30"/>
    <mergeCell ref="H30:I30"/>
    <mergeCell ref="B31:C31"/>
    <mergeCell ref="E31:F31"/>
    <mergeCell ref="H31:I31"/>
    <mergeCell ref="B28:C28"/>
    <mergeCell ref="E28:F28"/>
    <mergeCell ref="H28:I28"/>
    <mergeCell ref="B29:C29"/>
    <mergeCell ref="E29:F29"/>
    <mergeCell ref="H29:I29"/>
    <mergeCell ref="B26:C26"/>
    <mergeCell ref="E26:F26"/>
    <mergeCell ref="H26:I26"/>
    <mergeCell ref="B27:C27"/>
    <mergeCell ref="E27:F27"/>
    <mergeCell ref="H27:I27"/>
    <mergeCell ref="B24:C24"/>
    <mergeCell ref="E24:F24"/>
    <mergeCell ref="H24:I24"/>
    <mergeCell ref="B25:C25"/>
    <mergeCell ref="E25:F25"/>
    <mergeCell ref="H25:I25"/>
    <mergeCell ref="B22:C22"/>
    <mergeCell ref="E22:F22"/>
    <mergeCell ref="H22:I22"/>
    <mergeCell ref="B23:C23"/>
    <mergeCell ref="E23:F23"/>
    <mergeCell ref="H23:I23"/>
    <mergeCell ref="A19:J19"/>
    <mergeCell ref="B20:C20"/>
    <mergeCell ref="E20:F20"/>
    <mergeCell ref="H20:I20"/>
    <mergeCell ref="B21:C21"/>
    <mergeCell ref="E21:F21"/>
    <mergeCell ref="H21:I21"/>
    <mergeCell ref="B15:C15"/>
    <mergeCell ref="E15:F15"/>
    <mergeCell ref="H15:I15"/>
    <mergeCell ref="B16:C16"/>
    <mergeCell ref="E16:F16"/>
    <mergeCell ref="H16:I16"/>
    <mergeCell ref="B12:C12"/>
    <mergeCell ref="E12:F12"/>
    <mergeCell ref="H12:I12"/>
    <mergeCell ref="B13:C13"/>
    <mergeCell ref="E13:F13"/>
    <mergeCell ref="H13:I13"/>
    <mergeCell ref="B9:C9"/>
    <mergeCell ref="E9:F9"/>
    <mergeCell ref="H9:I9"/>
    <mergeCell ref="B10:C10"/>
    <mergeCell ref="E10:F10"/>
    <mergeCell ref="H10:I10"/>
    <mergeCell ref="A1:J1"/>
    <mergeCell ref="A2:J2"/>
    <mergeCell ref="A4:J4"/>
    <mergeCell ref="A6:J6"/>
    <mergeCell ref="A8:J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99"/>
  <sheetViews>
    <sheetView showGridLines="0" tabSelected="1" zoomScale="80" zoomScaleNormal="80" workbookViewId="0">
      <selection activeCell="R52" sqref="R52"/>
    </sheetView>
  </sheetViews>
  <sheetFormatPr defaultColWidth="8.6328125" defaultRowHeight="14.5" x14ac:dyDescent="0.35"/>
  <cols>
    <col min="1" max="21" width="5.54296875" customWidth="1"/>
  </cols>
  <sheetData>
    <row r="1" spans="1:21" ht="60" customHeight="1" x14ac:dyDescent="0.35">
      <c r="A1" s="60" t="s">
        <v>115</v>
      </c>
      <c r="B1" s="60"/>
      <c r="C1" s="60"/>
      <c r="D1" s="60"/>
      <c r="E1" s="60"/>
      <c r="F1" s="60"/>
      <c r="G1" s="60"/>
      <c r="H1" s="60"/>
      <c r="I1" s="60"/>
      <c r="J1" s="60"/>
      <c r="K1" s="60"/>
      <c r="L1" s="60"/>
      <c r="M1" s="60"/>
      <c r="N1" s="60"/>
      <c r="O1" s="60"/>
      <c r="P1" s="60"/>
      <c r="Q1" s="60"/>
      <c r="R1" s="60"/>
      <c r="S1" s="60"/>
      <c r="T1" s="60"/>
      <c r="U1" s="60"/>
    </row>
    <row r="2" spans="1:21" ht="24" customHeight="1" x14ac:dyDescent="0.35">
      <c r="A2" s="76" t="s">
        <v>116</v>
      </c>
      <c r="B2" s="76"/>
      <c r="C2" s="76"/>
      <c r="D2" s="76"/>
      <c r="E2" s="76"/>
      <c r="F2" s="76"/>
      <c r="G2" s="76"/>
      <c r="H2" s="76"/>
      <c r="I2" s="76"/>
      <c r="J2" s="76"/>
      <c r="K2" s="76"/>
      <c r="L2" s="76"/>
      <c r="M2" s="76"/>
      <c r="N2" s="76"/>
      <c r="O2" s="76"/>
      <c r="P2" s="76"/>
      <c r="Q2" s="76"/>
      <c r="R2" s="76"/>
      <c r="S2" s="76"/>
      <c r="T2" s="76"/>
      <c r="U2" s="76"/>
    </row>
    <row r="3" spans="1:21" ht="18" customHeight="1" x14ac:dyDescent="0.35"/>
    <row r="4" spans="1:21" ht="18" customHeight="1" x14ac:dyDescent="0.35"/>
    <row r="5" spans="1:21" ht="18" customHeight="1" x14ac:dyDescent="0.35"/>
    <row r="6" spans="1:21" ht="18" customHeight="1" x14ac:dyDescent="0.35"/>
    <row r="7" spans="1:21" ht="18" customHeight="1" x14ac:dyDescent="0.35"/>
    <row r="8" spans="1:21" ht="18" customHeight="1" x14ac:dyDescent="0.35"/>
    <row r="9" spans="1:21" ht="18" customHeight="1" x14ac:dyDescent="0.35"/>
    <row r="10" spans="1:21" ht="18" customHeight="1" x14ac:dyDescent="0.35"/>
    <row r="11" spans="1:21" ht="18" customHeight="1" x14ac:dyDescent="0.35"/>
    <row r="12" spans="1:21" ht="18" customHeight="1" x14ac:dyDescent="0.35"/>
    <row r="13" spans="1:21" ht="18" customHeight="1" x14ac:dyDescent="0.35"/>
    <row r="14" spans="1:21" ht="18" customHeight="1" x14ac:dyDescent="0.35"/>
    <row r="15" spans="1:21" ht="18" customHeight="1" x14ac:dyDescent="0.35"/>
    <row r="16" spans="1:21" ht="18" customHeight="1" x14ac:dyDescent="0.35"/>
    <row r="17" ht="18" customHeight="1" x14ac:dyDescent="0.35"/>
    <row r="18" ht="18" customHeight="1" x14ac:dyDescent="0.35"/>
    <row r="19" ht="18" customHeight="1" x14ac:dyDescent="0.35"/>
    <row r="20" ht="18" customHeight="1" x14ac:dyDescent="0.35"/>
    <row r="21" ht="18" customHeight="1" x14ac:dyDescent="0.35"/>
    <row r="22" ht="18" customHeight="1" x14ac:dyDescent="0.35"/>
    <row r="23" ht="18" customHeight="1" x14ac:dyDescent="0.35"/>
    <row r="24" ht="18" customHeight="1" x14ac:dyDescent="0.35"/>
    <row r="25" ht="18" customHeight="1" x14ac:dyDescent="0.35"/>
    <row r="26" ht="18" customHeight="1" x14ac:dyDescent="0.35"/>
    <row r="27" ht="18" customHeight="1" x14ac:dyDescent="0.35"/>
    <row r="28" ht="18" customHeight="1" x14ac:dyDescent="0.35"/>
    <row r="29" ht="18" customHeight="1" x14ac:dyDescent="0.35"/>
    <row r="30" ht="18" customHeight="1" x14ac:dyDescent="0.35"/>
    <row r="31" ht="18" customHeight="1" x14ac:dyDescent="0.35"/>
    <row r="32" ht="18" customHeight="1" x14ac:dyDescent="0.35"/>
    <row r="33" ht="18" customHeight="1" x14ac:dyDescent="0.35"/>
    <row r="34" ht="18" customHeight="1" x14ac:dyDescent="0.35"/>
    <row r="35" ht="18" customHeight="1" x14ac:dyDescent="0.35"/>
    <row r="36" ht="18" customHeight="1" x14ac:dyDescent="0.35"/>
    <row r="37" ht="18" customHeight="1" x14ac:dyDescent="0.35"/>
    <row r="38" ht="18" customHeight="1" x14ac:dyDescent="0.35"/>
    <row r="39" ht="18" customHeight="1" x14ac:dyDescent="0.35"/>
    <row r="40" ht="18" customHeight="1" x14ac:dyDescent="0.35"/>
    <row r="41" ht="18" customHeight="1" x14ac:dyDescent="0.35"/>
    <row r="42" ht="18" customHeight="1" x14ac:dyDescent="0.35"/>
    <row r="43" ht="18" customHeight="1" x14ac:dyDescent="0.35"/>
    <row r="44" ht="18" customHeight="1" x14ac:dyDescent="0.35"/>
    <row r="45" ht="18" customHeight="1" x14ac:dyDescent="0.35"/>
    <row r="46" ht="18" customHeight="1" x14ac:dyDescent="0.35"/>
    <row r="47" ht="18" customHeight="1" x14ac:dyDescent="0.35"/>
    <row r="48" ht="18" customHeight="1" x14ac:dyDescent="0.35"/>
    <row r="49" ht="18" customHeight="1" x14ac:dyDescent="0.35"/>
    <row r="50" ht="18" customHeight="1" x14ac:dyDescent="0.35"/>
    <row r="51" ht="18" customHeight="1" x14ac:dyDescent="0.35"/>
    <row r="52" ht="18" customHeight="1" x14ac:dyDescent="0.35"/>
    <row r="53" ht="18" customHeight="1" x14ac:dyDescent="0.35"/>
    <row r="54" ht="18" customHeight="1" x14ac:dyDescent="0.35"/>
    <row r="55" ht="18" customHeight="1" x14ac:dyDescent="0.35"/>
    <row r="56" ht="18" customHeight="1" x14ac:dyDescent="0.35"/>
    <row r="57" ht="18" customHeight="1" x14ac:dyDescent="0.35"/>
    <row r="58" ht="18" customHeight="1" x14ac:dyDescent="0.35"/>
    <row r="59" ht="18" customHeight="1" x14ac:dyDescent="0.35"/>
    <row r="60" ht="18" customHeight="1" x14ac:dyDescent="0.35"/>
    <row r="61" ht="18" customHeight="1" x14ac:dyDescent="0.35"/>
    <row r="62" ht="18" customHeight="1" x14ac:dyDescent="0.35"/>
    <row r="63" ht="18" customHeight="1" x14ac:dyDescent="0.35"/>
    <row r="64" ht="18" customHeight="1" x14ac:dyDescent="0.35"/>
    <row r="65" ht="18" customHeight="1" x14ac:dyDescent="0.35"/>
    <row r="66" ht="18" customHeight="1" x14ac:dyDescent="0.35"/>
    <row r="67" ht="18" customHeight="1" x14ac:dyDescent="0.35"/>
    <row r="68" ht="18" customHeight="1" x14ac:dyDescent="0.35"/>
    <row r="69" ht="18" customHeight="1" x14ac:dyDescent="0.35"/>
    <row r="70" ht="18" customHeight="1" x14ac:dyDescent="0.35"/>
    <row r="71" ht="18" customHeight="1" x14ac:dyDescent="0.35"/>
    <row r="72" ht="18" customHeight="1" x14ac:dyDescent="0.35"/>
    <row r="73" ht="18" customHeight="1" x14ac:dyDescent="0.35"/>
    <row r="74" ht="18" customHeight="1" x14ac:dyDescent="0.35"/>
    <row r="75" ht="18" customHeight="1" x14ac:dyDescent="0.35"/>
    <row r="76" ht="18" customHeight="1" x14ac:dyDescent="0.35"/>
    <row r="77" ht="18" customHeight="1" x14ac:dyDescent="0.35"/>
    <row r="78" ht="18" customHeight="1" x14ac:dyDescent="0.35"/>
    <row r="79" ht="18" customHeight="1" x14ac:dyDescent="0.35"/>
    <row r="80" ht="18" customHeight="1" x14ac:dyDescent="0.35"/>
    <row r="81" spans="1:21" ht="18" customHeight="1" x14ac:dyDescent="0.35"/>
    <row r="82" spans="1:21" ht="18" customHeight="1" x14ac:dyDescent="0.35"/>
    <row r="83" spans="1:21" ht="18" customHeight="1" x14ac:dyDescent="0.35"/>
    <row r="84" spans="1:21" ht="18" customHeight="1" x14ac:dyDescent="0.35"/>
    <row r="85" spans="1:21" ht="18" customHeight="1" x14ac:dyDescent="0.35"/>
    <row r="86" spans="1:21" ht="18" customHeight="1" x14ac:dyDescent="0.35"/>
    <row r="87" spans="1:21" ht="18" customHeight="1" x14ac:dyDescent="0.35"/>
    <row r="88" spans="1:21" ht="18" customHeight="1" x14ac:dyDescent="0.35"/>
    <row r="89" spans="1:21" ht="39.75" customHeight="1" x14ac:dyDescent="0.35">
      <c r="A89" s="11" t="s">
        <v>117</v>
      </c>
      <c r="B89" s="11"/>
      <c r="C89" s="11"/>
      <c r="D89" s="11"/>
      <c r="E89" s="11"/>
      <c r="F89" s="11"/>
      <c r="G89" s="11"/>
      <c r="H89" s="11"/>
      <c r="I89" s="11"/>
      <c r="J89" s="11"/>
      <c r="K89" s="11"/>
      <c r="L89" s="11"/>
      <c r="M89" s="11"/>
      <c r="N89" s="11"/>
      <c r="O89" s="11"/>
      <c r="P89" s="11"/>
      <c r="Q89" s="11"/>
      <c r="R89" s="11"/>
      <c r="S89" s="11"/>
      <c r="T89" s="11"/>
      <c r="U89" s="11"/>
    </row>
    <row r="90" spans="1:21" ht="19.5" customHeight="1" x14ac:dyDescent="0.35">
      <c r="A90" s="59" t="s">
        <v>118</v>
      </c>
      <c r="B90" s="59"/>
      <c r="C90" s="59"/>
      <c r="D90" s="59"/>
      <c r="E90" s="59"/>
      <c r="F90" s="59"/>
      <c r="G90" s="59"/>
      <c r="H90" s="59"/>
      <c r="I90" s="59"/>
      <c r="J90" s="59"/>
      <c r="K90" s="59"/>
      <c r="L90" s="59"/>
      <c r="M90" s="59"/>
      <c r="N90" s="59"/>
      <c r="O90" s="59"/>
      <c r="P90" s="59"/>
      <c r="Q90" s="59"/>
      <c r="R90" s="59"/>
      <c r="S90" s="59"/>
      <c r="T90" s="59"/>
      <c r="U90" s="59"/>
    </row>
    <row r="91" spans="1:21" ht="18" customHeight="1" x14ac:dyDescent="0.35"/>
    <row r="92" spans="1:21" ht="18" customHeight="1" x14ac:dyDescent="0.35"/>
    <row r="93" spans="1:21" ht="18" customHeight="1" x14ac:dyDescent="0.35"/>
    <row r="94" spans="1:21" ht="18" customHeight="1" x14ac:dyDescent="0.35"/>
    <row r="95" spans="1:21" ht="18" customHeight="1" x14ac:dyDescent="0.35"/>
    <row r="96" spans="1:21" ht="18" customHeight="1" x14ac:dyDescent="0.35"/>
    <row r="97" ht="18" customHeight="1" x14ac:dyDescent="0.35"/>
    <row r="98" ht="18" customHeight="1" x14ac:dyDescent="0.35"/>
    <row r="99" ht="18" customHeight="1" x14ac:dyDescent="0.35"/>
  </sheetData>
  <mergeCells count="4">
    <mergeCell ref="A1:U1"/>
    <mergeCell ref="A2:U2"/>
    <mergeCell ref="A89:U89"/>
    <mergeCell ref="A90:U90"/>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Calculator</vt:lpstr>
      <vt:lpstr>Dashboard</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Mhafuzul Islam (imec)</cp:lastModifiedBy>
  <cp:revision>1</cp:revision>
  <dcterms:created xsi:type="dcterms:W3CDTF">2026-03-25T15:59:27Z</dcterms:created>
  <dcterms:modified xsi:type="dcterms:W3CDTF">2026-03-25T16:30:11Z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0eba32c-0974-4663-a3a1-3cd8c30938e9_Enabled">
    <vt:lpwstr>true</vt:lpwstr>
  </property>
  <property fmtid="{D5CDD505-2E9C-101B-9397-08002B2CF9AE}" pid="3" name="MSIP_Label_f0eba32c-0974-4663-a3a1-3cd8c30938e9_SetDate">
    <vt:lpwstr>2026-03-25T16:04:51Z</vt:lpwstr>
  </property>
  <property fmtid="{D5CDD505-2E9C-101B-9397-08002B2CF9AE}" pid="4" name="MSIP_Label_f0eba32c-0974-4663-a3a1-3cd8c30938e9_Method">
    <vt:lpwstr>Privileged</vt:lpwstr>
  </property>
  <property fmtid="{D5CDD505-2E9C-101B-9397-08002B2CF9AE}" pid="5" name="MSIP_Label_f0eba32c-0974-4663-a3a1-3cd8c30938e9_Name">
    <vt:lpwstr>Public - General - Unmarked</vt:lpwstr>
  </property>
  <property fmtid="{D5CDD505-2E9C-101B-9397-08002B2CF9AE}" pid="6" name="MSIP_Label_f0eba32c-0974-4663-a3a1-3cd8c30938e9_SiteId">
    <vt:lpwstr>a72d5a72-25ee-40f0-9bd1-067cb5b770d4</vt:lpwstr>
  </property>
  <property fmtid="{D5CDD505-2E9C-101B-9397-08002B2CF9AE}" pid="7" name="MSIP_Label_f0eba32c-0974-4663-a3a1-3cd8c30938e9_ActionId">
    <vt:lpwstr>7987ab1d-5b11-4b18-a662-a96ad78fe45f</vt:lpwstr>
  </property>
  <property fmtid="{D5CDD505-2E9C-101B-9397-08002B2CF9AE}" pid="8" name="MSIP_Label_f0eba32c-0974-4663-a3a1-3cd8c30938e9_ContentBits">
    <vt:lpwstr>0</vt:lpwstr>
  </property>
  <property fmtid="{D5CDD505-2E9C-101B-9397-08002B2CF9AE}" pid="9" name="MSIP_Label_f0eba32c-0974-4663-a3a1-3cd8c30938e9_Tag">
    <vt:lpwstr>10, 0, 1, 1</vt:lpwstr>
  </property>
</Properties>
</file>